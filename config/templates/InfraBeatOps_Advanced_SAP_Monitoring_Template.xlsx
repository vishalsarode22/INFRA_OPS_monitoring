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itoring Checklist" sheetId="2" state="visible" r:id="rId2"/>
    <sheet xmlns:r="http://schemas.openxmlformats.org/officeDocument/2006/relationships" name="Evidence Register" sheetId="3" state="visible" r:id="rId3"/>
    <sheet xmlns:r="http://schemas.openxmlformats.org/officeDocument/2006/relationships" name="AI Analysis" sheetId="4" state="visible" r:id="rId4"/>
    <sheet xmlns:r="http://schemas.openxmlformats.org/officeDocument/2006/relationships" name="Daily History" sheetId="5" state="visible" r:id="rId5"/>
    <sheet xmlns:r="http://schemas.openxmlformats.org/officeDocument/2006/relationships" name="T-Code Catalog" sheetId="6" state="visible" r:id="rId6"/>
    <sheet xmlns:r="http://schemas.openxmlformats.org/officeDocument/2006/relationships" name="Configuration" sheetId="7" state="visible" r:id="rId7"/>
    <sheet xmlns:r="http://schemas.openxmlformats.org/officeDocument/2006/relationships" name="Instructions" sheetId="8" state="visible" r:id="rId8"/>
  </sheets>
  <definedNames>
    <definedName name="_xlnm._FilterDatabase" localSheetId="1" hidden="1">'Monitoring Checklist'!$A$4:$Q$204</definedName>
    <definedName name="_xlnm._FilterDatabase" localSheetId="2" hidden="1">'Evidence Register'!$A$4:$M$204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667085"/>
    </font>
    <font>
      <b val="1"/>
      <color rgb="00FFFFFF"/>
    </font>
    <font>
      <b val="1"/>
      <color rgb="0017202A"/>
      <sz val="18"/>
    </font>
    <font>
      <b val="1"/>
      <color rgb="0017202A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17202A"/>
      </patternFill>
    </fill>
    <fill>
      <patternFill patternType="solid">
        <fgColor rgb="00F8FAFC"/>
      </patternFill>
    </fill>
    <fill>
      <patternFill patternType="solid">
        <fgColor rgb="001565C0"/>
      </patternFill>
    </fill>
    <fill>
      <patternFill patternType="solid">
        <fgColor rgb="002E7D32"/>
      </patternFill>
    </fill>
    <fill>
      <patternFill patternType="solid">
        <fgColor rgb="00F9A825"/>
      </patternFill>
    </fill>
    <fill>
      <patternFill patternType="solid">
        <fgColor rgb="00C62828"/>
      </patternFill>
    </fill>
    <fill>
      <patternFill patternType="solid">
        <fgColor rgb="00667085"/>
      </patternFill>
    </fill>
  </fills>
  <borders count="2">
    <border>
      <left/>
      <right/>
      <top/>
      <bottom/>
      <diagonal/>
    </border>
    <border>
      <left style="thin">
        <color rgb="00D9DEE5"/>
      </left>
      <right style="thin">
        <color rgb="00D9DEE5"/>
      </right>
      <top style="thin">
        <color rgb="00D9DEE5"/>
      </top>
      <bottom style="thin">
        <color rgb="00D9DEE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  <xf numFmtId="0" fontId="0" fillId="3" borderId="1" pivotButton="0" quotePrefix="0" xfId="0"/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6" fillId="0" borderId="0" pivotButton="0" quotePrefix="0" xfId="0"/>
    <xf numFmtId="164" fontId="0" fillId="3" borderId="1" pivotButton="0" quotePrefix="0" xfId="0"/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5" fillId="0" borderId="0" pivotButton="0" quotePrefix="0" xfId="0"/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C62828"/>
        </patternFill>
      </fill>
    </dxf>
    <dxf>
      <font>
        <b val="1"/>
        <color rgb="00FFFFFF"/>
      </font>
      <fill>
        <patternFill patternType="solid">
          <fgColor rgb="00F9A825"/>
        </patternFill>
      </fill>
    </dxf>
    <dxf>
      <font>
        <b val="1"/>
        <color rgb="00FFFFFF"/>
      </font>
      <fill>
        <patternFill patternType="solid">
          <fgColor rgb="002E7D32"/>
        </patternFill>
      </fill>
    </dxf>
    <dxf>
      <font>
        <b val="1"/>
        <color rgb="00FFFFFF"/>
      </font>
      <fill>
        <patternFill patternType="solid">
          <fgColor rgb="0066708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InfraBeatOps</author>
  </authors>
  <commentList>
    <comment ref="A4" authorId="0" shapeId="0">
      <text>
        <t>Consolidated template based on the supplied Marico, VMM, MetroBrands and MIP monitoring references. The source material includes operational checks such as SM12, ST03N, SP01, SMLG, SM37, SM51/SM50, SMQ1/SMQ2, SM13, SM58, DB01/DB02/DB12, SOST, STAD, ST06, ST22 and ST02.</t>
      </text>
    </comment>
  </commentList>
</comments>
</file>

<file path=xl/comments/comment2.xml><?xml version="1.0" encoding="utf-8"?>
<comments xmlns="http://schemas.openxmlformats.org/spreadsheetml/2006/main">
  <authors>
    <author>InfraBeatOps</author>
  </authors>
  <commentList>
    <comment ref="A4" authorId="0" shapeId="0">
      <text>
        <t>AI is intended as a second-stage diagnostic layer: explain patterns, correlate evidence and suggest next checks; deterministic status/thresholding remains authoritative.</t>
      </text>
    </comment>
  </commentList>
</comments>
</file>

<file path=xl/tables/table1.xml><?xml version="1.0" encoding="utf-8"?>
<table xmlns="http://schemas.openxmlformats.org/spreadsheetml/2006/main" id="1" name="MonitoringChecklistTable" displayName="MonitoringChecklistTable" ref="A4:Q204" headerRowCount="1">
  <autoFilter ref="A4:Q204"/>
  <tableColumns count="17">
    <tableColumn id="1" name="Check ID"/>
    <tableColumn id="2" name="Category"/>
    <tableColumn id="3" name="Monitoring Task"/>
    <tableColumn id="4" name="T-Code / Source"/>
    <tableColumn id="5" name="Check Objective"/>
    <tableColumn id="6" name="Collected Value"/>
    <tableColumn id="7" name="Unit"/>
    <tableColumn id="8" name="Threshold / Baseline"/>
    <tableColumn id="9" name="Status"/>
    <tableColumn id="10" name="Severity Reason"/>
    <tableColumn id="11" name="User / Owner"/>
    <tableColumn id="12" name="Timestamp"/>
    <tableColumn id="13" name="Instance / Host"/>
    <tableColumn id="14" name="Evidence ID"/>
    <tableColumn id="15" name="Screenshot Path / Link"/>
    <tableColumn id="16" name="AI Finding"/>
    <tableColumn id="17" name="Recommended 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videnceRegisterTable" displayName="EvidenceRegisterTable" ref="A4:M204" headerRowCount="1">
  <autoFilter ref="A4:M204"/>
  <tableColumns count="13">
    <tableColumn id="1" name="Evidence ID"/>
    <tableColumn id="2" name="System"/>
    <tableColumn id="3" name="Client"/>
    <tableColumn id="4" name="T-Code"/>
    <tableColumn id="5" name="Evidence Type"/>
    <tableColumn id="6" name="Capture Timestamp"/>
    <tableColumn id="7" name="Screenshot Path / Link"/>
    <tableColumn id="8" name="Extraction Method"/>
    <tableColumn id="9" name="Extracted Data Summary"/>
    <tableColumn id="10" name="Source User"/>
    <tableColumn id="11" name="Instance / Host"/>
    <tableColumn id="12" name="Integrity / Quality"/>
    <tableColumn id="13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IAnalysisTable" displayName="AIAnalysisTable" ref="A4:N204" headerRowCount="1">
  <autoFilter ref="A4:N204"/>
  <tableColumns count="14">
    <tableColumn id="1" name="Analysis ID"/>
    <tableColumn id="2" name="Evidence ID"/>
    <tableColumn id="3" name="T-Code"/>
    <tableColumn id="4" name="Severity"/>
    <tableColumn id="5" name="Pattern / Finding"/>
    <tableColumn id="6" name="Affected User"/>
    <tableColumn id="7" name="Affected Program / Job"/>
    <tableColumn id="8" name="Runtime Error / Event"/>
    <tableColumn id="9" name="Likely Cause"/>
    <tableColumn id="10" name="Confidence"/>
    <tableColumn id="11" name="Business / Technical Impact"/>
    <tableColumn id="12" name="Recommended Next Check"/>
    <tableColumn id="13" name="Recommended Action"/>
    <tableColumn id="14" name="Analyst Valid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ailyHistoryTable" displayName="DailyHistoryTable" ref="A4:K304" headerRowCount="1">
  <autoFilter ref="A4:K304"/>
  <tableColumns count="11">
    <tableColumn id="1" name="Date"/>
    <tableColumn id="2" name="Company"/>
    <tableColumn id="3" name="System"/>
    <tableColumn id="4" name="Client"/>
    <tableColumn id="5" name="Monitoring Window"/>
    <tableColumn id="6" name="T-Code"/>
    <tableColumn id="7" name="Metric"/>
    <tableColumn id="8" name="Value"/>
    <tableColumn id="9" name="Status"/>
    <tableColumn id="10" name="Trend / Baseline"/>
    <tableColumn id="11" name="Evidence 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CodeCatalogTable" displayName="TCodeCatalogTable" ref="A4:H36" headerRowCount="1">
  <autoFilter ref="A4:H36"/>
  <tableColumns count="8">
    <tableColumn id="1" name="T-Code"/>
    <tableColumn id="2" name="Domain"/>
    <tableColumn id="3" name="Primary Check"/>
    <tableColumn id="4" name="Important Data to Extract"/>
    <tableColumn id="5" name="Evidence Required"/>
    <tableColumn id="6" name="AI Analysis Candidate"/>
    <tableColumn id="7" name="Frequency"/>
    <tableColumn id="8" name="Source Referen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onfigurationTable" displayName="ConfigurationTable" ref="A4:F19" headerRowCount="1">
  <autoFilter ref="A4:F19"/>
  <tableColumns count="6">
    <tableColumn id="1" name="Metric / Check"/>
    <tableColumn id="2" name="Warning"/>
    <tableColumn id="3" name="Critical"/>
    <tableColumn id="4" name="Unit"/>
    <tableColumn id="5" name="Direction"/>
    <tableColumn id="6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0" customWidth="1" min="4" max="4"/>
    <col width="20" customWidth="1" min="5" max="5"/>
    <col width="20" customWidth="1" min="6" max="6"/>
    <col width="20" customWidth="1" min="7" max="7"/>
  </cols>
  <sheetData>
    <row r="1" ht="28" customHeight="1">
      <c r="A1" s="1" t="inlineStr">
        <is>
          <t>InfraBeatOps · SAP Basis Monitoring Report</t>
        </is>
      </c>
    </row>
    <row r="2" ht="12" customHeight="1"/>
    <row r="4">
      <c r="A4" s="2" t="inlineStr">
        <is>
          <t>Company Name</t>
        </is>
      </c>
      <c r="B4" s="3" t="inlineStr">
        <is>
          <t>ENTER COMPANY</t>
        </is>
      </c>
      <c r="D4" s="4" t="inlineStr">
        <is>
          <t>Total Checks</t>
        </is>
      </c>
      <c r="E4" s="5" t="inlineStr">
        <is>
          <t>Healthy</t>
        </is>
      </c>
      <c r="F4" s="6" t="inlineStr">
        <is>
          <t>Warnings</t>
        </is>
      </c>
      <c r="G4" s="7" t="inlineStr">
        <is>
          <t>Critical</t>
        </is>
      </c>
    </row>
    <row r="5">
      <c r="A5" s="2" t="inlineStr">
        <is>
          <t>System Name</t>
        </is>
      </c>
      <c r="B5" s="3" t="inlineStr">
        <is>
          <t>ENTER SYSTEM</t>
        </is>
      </c>
      <c r="D5" s="8">
        <f>COUNTA('Monitoring Checklist'!A5:A204)</f>
        <v/>
      </c>
      <c r="E5" s="8">
        <f>COUNTIF('Monitoring Checklist'!I5:I204,"HEALTHY")</f>
        <v/>
      </c>
      <c r="F5" s="8">
        <f>COUNTIF('Monitoring Checklist'!I5:I204,"WARNING")</f>
        <v/>
      </c>
      <c r="G5" s="8">
        <f>COUNTIF('Monitoring Checklist'!I5:I204,"CRITICAL")</f>
        <v/>
      </c>
    </row>
    <row r="6">
      <c r="A6" s="2" t="inlineStr">
        <is>
          <t>SAP SID</t>
        </is>
      </c>
      <c r="B6" s="3" t="inlineStr">
        <is>
          <t>ENTER SID</t>
        </is>
      </c>
    </row>
    <row r="7">
      <c r="A7" s="2" t="inlineStr">
        <is>
          <t>Client</t>
        </is>
      </c>
      <c r="B7" s="3" t="inlineStr">
        <is>
          <t>ENTER CLIENT</t>
        </is>
      </c>
    </row>
    <row r="8">
      <c r="A8" s="2" t="inlineStr">
        <is>
          <t>Environment</t>
        </is>
      </c>
      <c r="B8" s="3" t="inlineStr">
        <is>
          <t>Production / QAS / DEV</t>
        </is>
      </c>
      <c r="D8" s="9" t="inlineStr">
        <is>
          <t>Status Legend</t>
        </is>
      </c>
    </row>
    <row r="9">
      <c r="A9" s="2" t="inlineStr">
        <is>
          <t>Monitoring Date</t>
        </is>
      </c>
      <c r="B9" s="10" t="n">
        <v>46262</v>
      </c>
      <c r="D9" s="11" t="inlineStr">
        <is>
          <t>HEALTHY</t>
        </is>
      </c>
    </row>
    <row r="10">
      <c r="A10" s="2" t="inlineStr">
        <is>
          <t>Monitoring Window</t>
        </is>
      </c>
      <c r="B10" s="3" t="inlineStr">
        <is>
          <t>Morning / Evening / 2-Hourly / Hourly</t>
        </is>
      </c>
      <c r="D10" s="12" t="inlineStr">
        <is>
          <t>WARNING</t>
        </is>
      </c>
    </row>
    <row r="11">
      <c r="A11" s="2" t="inlineStr">
        <is>
          <t>Analyst</t>
        </is>
      </c>
      <c r="B11" s="3" t="inlineStr">
        <is>
          <t>ENTER ANALYST</t>
        </is>
      </c>
      <c r="D11" s="13" t="inlineStr">
        <is>
          <t>CRITICAL</t>
        </is>
      </c>
    </row>
    <row r="12">
      <c r="D12" s="14" t="inlineStr">
        <is>
          <t>NOT AUTHORIZED</t>
        </is>
      </c>
    </row>
    <row r="13">
      <c r="D13" s="14" t="inlineStr">
        <is>
          <t>NOT APPLICABLE</t>
        </is>
      </c>
    </row>
    <row r="14">
      <c r="A14" s="15" t="inlineStr">
        <is>
          <t>Executive Summary</t>
        </is>
      </c>
    </row>
    <row r="15">
      <c r="A15" s="2" t="inlineStr">
        <is>
          <t>Overall Status</t>
        </is>
      </c>
      <c r="B15" s="16">
        <f>IF(COUNTIF('Monitoring Checklist'!I5:I204,"CRITICAL")&gt;0,"CRITICAL",IF(COUNTIF('Monitoring Checklist'!I5:I204,"WARNING")&gt;0,"WARNING","HEALTHY"))</f>
        <v/>
      </c>
    </row>
    <row r="16">
      <c r="A16" s="2" t="inlineStr">
        <is>
          <t>Key Observation</t>
        </is>
      </c>
      <c r="B16" s="16" t="inlineStr">
        <is>
          <t>Enter concise Basis observation here.</t>
        </is>
      </c>
    </row>
    <row r="17">
      <c r="A17" s="2" t="inlineStr">
        <is>
          <t>Immediate Action</t>
        </is>
      </c>
      <c r="B17" s="16" t="inlineStr">
        <is>
          <t>Enter required action / owner here.</t>
        </is>
      </c>
    </row>
  </sheetData>
  <mergeCells count="1">
    <mergeCell ref="A1:H2"/>
  </mergeCells>
  <conditionalFormatting sqref="B15">
    <cfRule type="expression" priority="1" dxfId="0">
      <formula>$B$15="CRITICAL"</formula>
    </cfRule>
    <cfRule type="expression" priority="2" dxfId="1">
      <formula>$B$15="WARNING"</formula>
    </cfRule>
    <cfRule type="expression" priority="3" dxfId="2">
      <formula>$B$15="HEALTHY"</formula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2" customWidth="1" min="3" max="3"/>
    <col width="18" customWidth="1" min="4" max="4"/>
    <col width="42" customWidth="1" min="5" max="5"/>
    <col width="22" customWidth="1" min="6" max="6"/>
    <col width="12" customWidth="1" min="7" max="7"/>
    <col width="20" customWidth="1" min="8" max="8"/>
    <col width="18" customWidth="1" min="9" max="9"/>
    <col width="38" customWidth="1" min="10" max="10"/>
    <col width="18" customWidth="1" min="11" max="11"/>
    <col width="20" customWidth="1" min="12" max="12"/>
    <col width="22" customWidth="1" min="13" max="13"/>
    <col width="28" customWidth="1" min="14" max="14"/>
    <col width="45" customWidth="1" min="15" max="15"/>
    <col width="55" customWidth="1" min="16" max="16"/>
    <col width="55" customWidth="1" min="17" max="17"/>
  </cols>
  <sheetData>
    <row r="1">
      <c r="A1" s="1" t="inlineStr">
        <is>
          <t>InfraBeatOps · Monitoring Checklist &amp; Evidence</t>
        </is>
      </c>
    </row>
    <row r="2"/>
    <row r="4">
      <c r="A4" s="17" t="inlineStr">
        <is>
          <t>Check ID</t>
        </is>
      </c>
      <c r="B4" s="17" t="inlineStr">
        <is>
          <t>Category</t>
        </is>
      </c>
      <c r="C4" s="17" t="inlineStr">
        <is>
          <t>Monitoring Task</t>
        </is>
      </c>
      <c r="D4" s="17" t="inlineStr">
        <is>
          <t>T-Code / Source</t>
        </is>
      </c>
      <c r="E4" s="17" t="inlineStr">
        <is>
          <t>Check Objective</t>
        </is>
      </c>
      <c r="F4" s="17" t="inlineStr">
        <is>
          <t>Collected Value</t>
        </is>
      </c>
      <c r="G4" s="17" t="inlineStr">
        <is>
          <t>Unit</t>
        </is>
      </c>
      <c r="H4" s="17" t="inlineStr">
        <is>
          <t>Threshold / Baseline</t>
        </is>
      </c>
      <c r="I4" s="17" t="inlineStr">
        <is>
          <t>Status</t>
        </is>
      </c>
      <c r="J4" s="17" t="inlineStr">
        <is>
          <t>Severity Reason</t>
        </is>
      </c>
      <c r="K4" s="17" t="inlineStr">
        <is>
          <t>User / Owner</t>
        </is>
      </c>
      <c r="L4" s="17" t="inlineStr">
        <is>
          <t>Timestamp</t>
        </is>
      </c>
      <c r="M4" s="17" t="inlineStr">
        <is>
          <t>Instance / Host</t>
        </is>
      </c>
      <c r="N4" s="17" t="inlineStr">
        <is>
          <t>Evidence ID</t>
        </is>
      </c>
      <c r="O4" s="17" t="inlineStr">
        <is>
          <t>Screenshot Path / Link</t>
        </is>
      </c>
      <c r="P4" s="17" t="inlineStr">
        <is>
          <t>AI Finding</t>
        </is>
      </c>
      <c r="Q4" s="17" t="inlineStr">
        <is>
          <t>Recommended Action</t>
        </is>
      </c>
    </row>
    <row r="5">
      <c r="A5" s="16" t="inlineStr">
        <is>
          <t>DB-01</t>
        </is>
      </c>
      <c r="B5" s="16" t="inlineStr">
        <is>
          <t>Database</t>
        </is>
      </c>
      <c r="C5" s="16" t="inlineStr">
        <is>
          <t>Database size / free space</t>
        </is>
      </c>
      <c r="D5" s="16" t="inlineStr">
        <is>
          <t>DB02</t>
        </is>
      </c>
      <c r="E5" s="16" t="inlineStr">
        <is>
          <t>Check database capacity, growth and space</t>
        </is>
      </c>
      <c r="F5" s="16" t="inlineStr"/>
      <c r="G5" s="16" t="inlineStr">
        <is>
          <t>% free / GB</t>
        </is>
      </c>
      <c r="H5" s="16" t="inlineStr">
        <is>
          <t>Customer baseline</t>
        </is>
      </c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</row>
    <row r="6">
      <c r="A6" s="16" t="inlineStr">
        <is>
          <t>DB-02</t>
        </is>
      </c>
      <c r="B6" s="16" t="inlineStr">
        <is>
          <t>Database</t>
        </is>
      </c>
      <c r="C6" s="16" t="inlineStr">
        <is>
          <t>Blocked / exclusive lock transactions</t>
        </is>
      </c>
      <c r="D6" s="16" t="inlineStr">
        <is>
          <t>DB01</t>
        </is>
      </c>
      <c r="E6" s="16" t="inlineStr">
        <is>
          <t>Check blocked database transactions</t>
        </is>
      </c>
      <c r="F6" s="16" t="inlineStr"/>
      <c r="G6" s="16" t="inlineStr">
        <is>
          <t>count</t>
        </is>
      </c>
      <c r="H6" s="16" t="inlineStr">
        <is>
          <t>0 preferred</t>
        </is>
      </c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</row>
    <row r="7">
      <c r="A7" s="16" t="inlineStr">
        <is>
          <t>DB-03</t>
        </is>
      </c>
      <c r="B7" s="16" t="inlineStr">
        <is>
          <t>Database</t>
        </is>
      </c>
      <c r="C7" s="16" t="inlineStr">
        <is>
          <t>Backup status</t>
        </is>
      </c>
      <c r="D7" s="16" t="inlineStr">
        <is>
          <t>DB12</t>
        </is>
      </c>
      <c r="E7" s="16" t="inlineStr">
        <is>
          <t>Verify latest database backup completed successfully</t>
        </is>
      </c>
      <c r="F7" s="16" t="inlineStr"/>
      <c r="G7" s="16" t="inlineStr">
        <is>
          <t>status</t>
        </is>
      </c>
      <c r="H7" s="16" t="inlineStr">
        <is>
          <t>Successful / current</t>
        </is>
      </c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</row>
    <row r="8">
      <c r="A8" s="16" t="inlineStr">
        <is>
          <t>DB-04</t>
        </is>
      </c>
      <c r="B8" s="16" t="inlineStr">
        <is>
          <t>Database</t>
        </is>
      </c>
      <c r="C8" s="16" t="inlineStr">
        <is>
          <t>Database alerts / red alerts</t>
        </is>
      </c>
      <c r="D8" s="16" t="inlineStr">
        <is>
          <t>DB16 / DBACOCKPIT</t>
        </is>
      </c>
      <c r="E8" s="16" t="inlineStr">
        <is>
          <t>Check missing tables, indexes and database alerts</t>
        </is>
      </c>
      <c r="F8" s="16" t="inlineStr"/>
      <c r="G8" s="16" t="inlineStr">
        <is>
          <t>count/status</t>
        </is>
      </c>
      <c r="H8" s="16" t="inlineStr">
        <is>
          <t>No critical alerts</t>
        </is>
      </c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</row>
    <row r="9">
      <c r="A9" s="16" t="inlineStr">
        <is>
          <t>SYS-01</t>
        </is>
      </c>
      <c r="B9" s="16" t="inlineStr">
        <is>
          <t>System Health</t>
        </is>
      </c>
      <c r="C9" s="16" t="inlineStr">
        <is>
          <t>System log / critical events</t>
        </is>
      </c>
      <c r="D9" s="16" t="inlineStr">
        <is>
          <t>SM21</t>
        </is>
      </c>
      <c r="E9" s="16" t="inlineStr">
        <is>
          <t>Identify critical system log events and repeated errors</t>
        </is>
      </c>
      <c r="F9" s="16" t="inlineStr"/>
      <c r="G9" s="16" t="inlineStr">
        <is>
          <t>event count</t>
        </is>
      </c>
      <c r="H9" s="16" t="inlineStr">
        <is>
          <t>No critical events</t>
        </is>
      </c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</row>
    <row r="10">
      <c r="A10" s="16" t="inlineStr">
        <is>
          <t>SYS-02</t>
        </is>
      </c>
      <c r="B10" s="16" t="inlineStr">
        <is>
          <t>System Health</t>
        </is>
      </c>
      <c r="C10" s="16" t="inlineStr">
        <is>
          <t>Old lock entries</t>
        </is>
      </c>
      <c r="D10" s="16" t="inlineStr">
        <is>
          <t>SM12</t>
        </is>
      </c>
      <c r="E10" s="16" t="inlineStr">
        <is>
          <t>Identify locks, especially entries older than 24 hours</t>
        </is>
      </c>
      <c r="F10" s="16" t="inlineStr"/>
      <c r="G10" s="16" t="inlineStr">
        <is>
          <t>count</t>
        </is>
      </c>
      <c r="H10" s="16" t="inlineStr">
        <is>
          <t>Customer baseline</t>
        </is>
      </c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</row>
    <row r="11">
      <c r="A11" s="16" t="inlineStr">
        <is>
          <t>SYS-03</t>
        </is>
      </c>
      <c r="B11" s="16" t="inlineStr">
        <is>
          <t>System Health</t>
        </is>
      </c>
      <c r="C11" s="16" t="inlineStr">
        <is>
          <t>Logged-on users / sessions</t>
        </is>
      </c>
      <c r="D11" s="16" t="inlineStr">
        <is>
          <t>AL08 / SM04</t>
        </is>
      </c>
      <c r="E11" s="16" t="inlineStr">
        <is>
          <t>Track user logons and back-end sessions</t>
        </is>
      </c>
      <c r="F11" s="16" t="inlineStr"/>
      <c r="G11" s="16" t="inlineStr">
        <is>
          <t>count</t>
        </is>
      </c>
      <c r="H11" s="16" t="inlineStr">
        <is>
          <t>Historical baseline</t>
        </is>
      </c>
      <c r="I11" s="16" t="inlineStr"/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</row>
    <row r="12">
      <c r="A12" s="16" t="inlineStr">
        <is>
          <t>SYS-04</t>
        </is>
      </c>
      <c r="B12" s="16" t="inlineStr">
        <is>
          <t>System Health</t>
        </is>
      </c>
      <c r="C12" s="16" t="inlineStr">
        <is>
          <t>Application server status</t>
        </is>
      </c>
      <c r="D12" s="16" t="inlineStr">
        <is>
          <t>SM51</t>
        </is>
      </c>
      <c r="E12" s="16" t="inlineStr">
        <is>
          <t>Verify application server instances are active</t>
        </is>
      </c>
      <c r="F12" s="16" t="inlineStr"/>
      <c r="G12" s="16" t="inlineStr">
        <is>
          <t>count/status</t>
        </is>
      </c>
      <c r="H12" s="16" t="inlineStr">
        <is>
          <t>All expected active</t>
        </is>
      </c>
      <c r="I12" s="16" t="inlineStr"/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</row>
    <row r="13">
      <c r="A13" s="16" t="inlineStr">
        <is>
          <t>SYS-05</t>
        </is>
      </c>
      <c r="B13" s="16" t="inlineStr">
        <is>
          <t>System Health</t>
        </is>
      </c>
      <c r="C13" s="16" t="inlineStr">
        <is>
          <t>Work process status</t>
        </is>
      </c>
      <c r="D13" s="16" t="inlineStr">
        <is>
          <t>SM50 / SM66</t>
        </is>
      </c>
      <c r="E13" s="16" t="inlineStr">
        <is>
          <t>Check long-running, PRIV and abnormal work processes</t>
        </is>
      </c>
      <c r="F13" s="16" t="inlineStr"/>
      <c r="G13" s="16" t="inlineStr">
        <is>
          <t>count/status</t>
        </is>
      </c>
      <c r="H13" s="16" t="inlineStr">
        <is>
          <t>No abnormal processes</t>
        </is>
      </c>
      <c r="I13" s="16" t="inlineStr"/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</row>
    <row r="14">
      <c r="A14" s="16" t="inlineStr">
        <is>
          <t>SYS-06</t>
        </is>
      </c>
      <c r="B14" s="16" t="inlineStr">
        <is>
          <t>System Health</t>
        </is>
      </c>
      <c r="C14" s="16" t="inlineStr">
        <is>
          <t>SAP buffer performance</t>
        </is>
      </c>
      <c r="D14" s="16" t="inlineStr">
        <is>
          <t>ST02</t>
        </is>
      </c>
      <c r="E14" s="16" t="inlineStr">
        <is>
          <t>Review buffer quality and directory/buffer fluctuations</t>
        </is>
      </c>
      <c r="F14" s="16" t="inlineStr"/>
      <c r="G14" s="16" t="inlineStr">
        <is>
          <t>ratio/status</t>
        </is>
      </c>
      <c r="H14" s="16" t="inlineStr">
        <is>
          <t>Historical baseline</t>
        </is>
      </c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</row>
    <row r="15">
      <c r="A15" s="16" t="inlineStr">
        <is>
          <t>PERF-01</t>
        </is>
      </c>
      <c r="B15" s="16" t="inlineStr">
        <is>
          <t>Performance</t>
        </is>
      </c>
      <c r="C15" s="16" t="inlineStr">
        <is>
          <t>Dialog response time</t>
        </is>
      </c>
      <c r="D15" s="16" t="inlineStr">
        <is>
          <t>ST03N / ST03</t>
        </is>
      </c>
      <c r="E15" s="16" t="inlineStr">
        <is>
          <t>Check average dialog response time</t>
        </is>
      </c>
      <c r="F15" s="16" t="inlineStr"/>
      <c r="G15" s="16" t="inlineStr">
        <is>
          <t>ms</t>
        </is>
      </c>
      <c r="H15" s="16" t="inlineStr">
        <is>
          <t>Customer baseline</t>
        </is>
      </c>
      <c r="I15" s="16" t="inlineStr"/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</row>
    <row r="16">
      <c r="A16" s="16" t="inlineStr">
        <is>
          <t>PERF-02</t>
        </is>
      </c>
      <c r="B16" s="16" t="inlineStr">
        <is>
          <t>Performance</t>
        </is>
      </c>
      <c r="C16" s="16" t="inlineStr">
        <is>
          <t>Hourly workload statistics</t>
        </is>
      </c>
      <c r="D16" s="16" t="inlineStr">
        <is>
          <t>STAD</t>
        </is>
      </c>
      <c r="E16" s="16" t="inlineStr">
        <is>
          <t>Review hourly workload and expensive activity</t>
        </is>
      </c>
      <c r="F16" s="16" t="inlineStr"/>
      <c r="G16" s="16" t="inlineStr">
        <is>
          <t>summary</t>
        </is>
      </c>
      <c r="H16" s="16" t="inlineStr">
        <is>
          <t>Baseline / anomaly</t>
        </is>
      </c>
      <c r="I16" s="16" t="inlineStr"/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</row>
    <row r="17">
      <c r="A17" s="16" t="inlineStr">
        <is>
          <t>SMLG-01</t>
        </is>
      </c>
      <c r="B17" s="16" t="inlineStr">
        <is>
          <t>Performance</t>
        </is>
      </c>
      <c r="C17" s="16" t="inlineStr">
        <is>
          <t>Logon group response time</t>
        </is>
      </c>
      <c r="D17" s="16" t="inlineStr">
        <is>
          <t>SMLG</t>
        </is>
      </c>
      <c r="E17" s="16" t="inlineStr">
        <is>
          <t>Verify instance response and logon group distribution</t>
        </is>
      </c>
      <c r="F17" s="16" t="inlineStr"/>
      <c r="G17" s="16" t="inlineStr">
        <is>
          <t>ms</t>
        </is>
      </c>
      <c r="H17" s="16" t="inlineStr">
        <is>
          <t>Customer baseline</t>
        </is>
      </c>
      <c r="I17" s="16" t="inlineStr"/>
      <c r="J17" s="16" t="inlineStr"/>
      <c r="K17" s="16" t="inlineStr"/>
      <c r="L17" s="16" t="inlineStr"/>
      <c r="M17" s="16" t="inlineStr"/>
      <c r="N17" s="16" t="inlineStr"/>
      <c r="O17" s="16" t="inlineStr"/>
      <c r="P17" s="16" t="inlineStr"/>
      <c r="Q17" s="16" t="inlineStr"/>
    </row>
    <row r="18">
      <c r="A18" s="16" t="inlineStr">
        <is>
          <t>JOB-01</t>
        </is>
      </c>
      <c r="B18" s="16" t="inlineStr">
        <is>
          <t>Jobs</t>
        </is>
      </c>
      <c r="C18" s="16" t="inlineStr">
        <is>
          <t>Active background jobs</t>
        </is>
      </c>
      <c r="D18" s="16" t="inlineStr">
        <is>
          <t>SM37</t>
        </is>
      </c>
      <c r="E18" s="16" t="inlineStr">
        <is>
          <t>Review active jobs, duration and delay</t>
        </is>
      </c>
      <c r="F18" s="16" t="inlineStr"/>
      <c r="G18" s="16" t="inlineStr">
        <is>
          <t>count / sec</t>
        </is>
      </c>
      <c r="H18" s="16" t="inlineStr">
        <is>
          <t>Customer baseline</t>
        </is>
      </c>
      <c r="I18" s="16" t="inlineStr"/>
      <c r="J18" s="16" t="inlineStr"/>
      <c r="K18" s="16" t="inlineStr"/>
      <c r="L18" s="16" t="inlineStr"/>
      <c r="M18" s="16" t="inlineStr"/>
      <c r="N18" s="16" t="inlineStr"/>
      <c r="O18" s="16" t="inlineStr"/>
      <c r="P18" s="16" t="inlineStr"/>
      <c r="Q18" s="16" t="inlineStr"/>
    </row>
    <row r="19">
      <c r="A19" s="16" t="inlineStr">
        <is>
          <t>JOB-02</t>
        </is>
      </c>
      <c r="B19" s="16" t="inlineStr">
        <is>
          <t>Jobs</t>
        </is>
      </c>
      <c r="C19" s="16" t="inlineStr">
        <is>
          <t>Cancelled / failed jobs</t>
        </is>
      </c>
      <c r="D19" s="16" t="inlineStr">
        <is>
          <t>SM37</t>
        </is>
      </c>
      <c r="E19" s="16" t="inlineStr">
        <is>
          <t>Identify cancelled jobs, repeated job names and owners</t>
        </is>
      </c>
      <c r="F19" s="16" t="inlineStr"/>
      <c r="G19" s="16" t="inlineStr">
        <is>
          <t>count</t>
        </is>
      </c>
      <c r="H19" s="16" t="inlineStr">
        <is>
          <t>Customer baseline</t>
        </is>
      </c>
      <c r="I19" s="16" t="inlineStr"/>
      <c r="J19" s="16" t="inlineStr"/>
      <c r="K19" s="16" t="inlineStr"/>
      <c r="L19" s="16" t="inlineStr"/>
      <c r="M19" s="16" t="inlineStr"/>
      <c r="N19" s="16" t="inlineStr"/>
      <c r="O19" s="16" t="inlineStr"/>
      <c r="P19" s="16" t="inlineStr"/>
      <c r="Q19" s="16" t="inlineStr"/>
    </row>
    <row r="20">
      <c r="A20" s="16" t="inlineStr">
        <is>
          <t>UPD-01</t>
        </is>
      </c>
      <c r="B20" s="16" t="inlineStr">
        <is>
          <t>Updates</t>
        </is>
      </c>
      <c r="C20" s="16" t="inlineStr">
        <is>
          <t>Failed update requests</t>
        </is>
      </c>
      <c r="D20" s="16" t="inlineStr">
        <is>
          <t>SM13</t>
        </is>
      </c>
      <c r="E20" s="16" t="inlineStr">
        <is>
          <t>Identify update terminations and errors</t>
        </is>
      </c>
      <c r="F20" s="16" t="inlineStr"/>
      <c r="G20" s="16" t="inlineStr">
        <is>
          <t>count</t>
        </is>
      </c>
      <c r="H20" s="16" t="inlineStr">
        <is>
          <t>0 preferred</t>
        </is>
      </c>
      <c r="I20" s="16" t="inlineStr"/>
      <c r="J20" s="16" t="inlineStr"/>
      <c r="K20" s="16" t="inlineStr"/>
      <c r="L20" s="16" t="inlineStr"/>
      <c r="M20" s="16" t="inlineStr"/>
      <c r="N20" s="16" t="inlineStr"/>
      <c r="O20" s="16" t="inlineStr"/>
      <c r="P20" s="16" t="inlineStr"/>
      <c r="Q20" s="16" t="inlineStr"/>
    </row>
    <row r="21">
      <c r="A21" s="16" t="inlineStr">
        <is>
          <t>RFC-01</t>
        </is>
      </c>
      <c r="B21" s="16" t="inlineStr">
        <is>
          <t>RFC</t>
        </is>
      </c>
      <c r="C21" s="16" t="inlineStr">
        <is>
          <t>Transactional RFC errors</t>
        </is>
      </c>
      <c r="D21" s="16" t="inlineStr">
        <is>
          <t>SM58</t>
        </is>
      </c>
      <c r="E21" s="16" t="inlineStr">
        <is>
          <t>Check failed tRFC entries and destinations</t>
        </is>
      </c>
      <c r="F21" s="16" t="inlineStr"/>
      <c r="G21" s="16" t="inlineStr">
        <is>
          <t>count</t>
        </is>
      </c>
      <c r="H21" s="16" t="inlineStr">
        <is>
          <t>0 preferred</t>
        </is>
      </c>
      <c r="I21" s="16" t="inlineStr"/>
      <c r="J21" s="16" t="inlineStr"/>
      <c r="K21" s="16" t="inlineStr"/>
      <c r="L21" s="16" t="inlineStr"/>
      <c r="M21" s="16" t="inlineStr"/>
      <c r="N21" s="16" t="inlineStr"/>
      <c r="O21" s="16" t="inlineStr"/>
      <c r="P21" s="16" t="inlineStr"/>
      <c r="Q21" s="16" t="inlineStr"/>
    </row>
    <row r="22">
      <c r="A22" s="16" t="inlineStr">
        <is>
          <t>QRF-01</t>
        </is>
      </c>
      <c r="B22" s="16" t="inlineStr">
        <is>
          <t>qRFC</t>
        </is>
      </c>
      <c r="C22" s="16" t="inlineStr">
        <is>
          <t>Outbound queues</t>
        </is>
      </c>
      <c r="D22" s="16" t="inlineStr">
        <is>
          <t>SMQ1</t>
        </is>
      </c>
      <c r="E22" s="16" t="inlineStr">
        <is>
          <t>Check outbound qRFC entries and queue count</t>
        </is>
      </c>
      <c r="F22" s="16" t="inlineStr"/>
      <c r="G22" s="16" t="inlineStr">
        <is>
          <t>count</t>
        </is>
      </c>
      <c r="H22" s="16" t="inlineStr">
        <is>
          <t>Customer baseline</t>
        </is>
      </c>
      <c r="I22" s="16" t="inlineStr"/>
      <c r="J22" s="16" t="inlineStr"/>
      <c r="K22" s="16" t="inlineStr"/>
      <c r="L22" s="16" t="inlineStr"/>
      <c r="M22" s="16" t="inlineStr"/>
      <c r="N22" s="16" t="inlineStr"/>
      <c r="O22" s="16" t="inlineStr"/>
      <c r="P22" s="16" t="inlineStr"/>
      <c r="Q22" s="16" t="inlineStr"/>
    </row>
    <row r="23">
      <c r="A23" s="16" t="inlineStr">
        <is>
          <t>QRF-02</t>
        </is>
      </c>
      <c r="B23" s="16" t="inlineStr">
        <is>
          <t>qRFC</t>
        </is>
      </c>
      <c r="C23" s="16" t="inlineStr">
        <is>
          <t>Inbound queues</t>
        </is>
      </c>
      <c r="D23" s="16" t="inlineStr">
        <is>
          <t>SMQ2</t>
        </is>
      </c>
      <c r="E23" s="16" t="inlineStr">
        <is>
          <t>Check inbound qRFC entries and queue count</t>
        </is>
      </c>
      <c r="F23" s="16" t="inlineStr"/>
      <c r="G23" s="16" t="inlineStr">
        <is>
          <t>count</t>
        </is>
      </c>
      <c r="H23" s="16" t="inlineStr">
        <is>
          <t>Customer baseline</t>
        </is>
      </c>
      <c r="I23" s="16" t="inlineStr"/>
      <c r="J23" s="16" t="inlineStr"/>
      <c r="K23" s="16" t="inlineStr"/>
      <c r="L23" s="16" t="inlineStr"/>
      <c r="M23" s="16" t="inlineStr"/>
      <c r="N23" s="16" t="inlineStr"/>
      <c r="O23" s="16" t="inlineStr"/>
      <c r="P23" s="16" t="inlineStr"/>
      <c r="Q23" s="16" t="inlineStr"/>
    </row>
    <row r="24">
      <c r="A24" s="16" t="inlineStr">
        <is>
          <t>QRF-03</t>
        </is>
      </c>
      <c r="B24" s="16" t="inlineStr">
        <is>
          <t>qRFC</t>
        </is>
      </c>
      <c r="C24" s="16" t="inlineStr">
        <is>
          <t>Outbound registrations</t>
        </is>
      </c>
      <c r="D24" s="16" t="inlineStr">
        <is>
          <t>SMQS</t>
        </is>
      </c>
      <c r="E24" s="16" t="inlineStr">
        <is>
          <t>Verify registered outbound destinations</t>
        </is>
      </c>
      <c r="F24" s="16" t="inlineStr"/>
      <c r="G24" s="16" t="inlineStr">
        <is>
          <t>status/count</t>
        </is>
      </c>
      <c r="H24" s="16" t="inlineStr">
        <is>
          <t>Expected registrations</t>
        </is>
      </c>
      <c r="I24" s="16" t="inlineStr"/>
      <c r="J24" s="16" t="inlineStr"/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</row>
    <row r="25">
      <c r="A25" s="16" t="inlineStr">
        <is>
          <t>QRF-04</t>
        </is>
      </c>
      <c r="B25" s="16" t="inlineStr">
        <is>
          <t>qRFC</t>
        </is>
      </c>
      <c r="C25" s="16" t="inlineStr">
        <is>
          <t>Inbound registrations</t>
        </is>
      </c>
      <c r="D25" s="16" t="inlineStr">
        <is>
          <t>SMQR</t>
        </is>
      </c>
      <c r="E25" s="16" t="inlineStr">
        <is>
          <t>Verify inbound queue registrations</t>
        </is>
      </c>
      <c r="F25" s="16" t="inlineStr"/>
      <c r="G25" s="16" t="inlineStr">
        <is>
          <t>status/count</t>
        </is>
      </c>
      <c r="H25" s="16" t="inlineStr">
        <is>
          <t>Expected registrations</t>
        </is>
      </c>
      <c r="I25" s="16" t="inlineStr"/>
      <c r="J25" s="16" t="inlineStr"/>
      <c r="K25" s="16" t="inlineStr"/>
      <c r="L25" s="16" t="inlineStr"/>
      <c r="M25" s="16" t="inlineStr"/>
      <c r="N25" s="16" t="inlineStr"/>
      <c r="O25" s="16" t="inlineStr"/>
      <c r="P25" s="16" t="inlineStr"/>
      <c r="Q25" s="16" t="inlineStr"/>
    </row>
    <row r="26">
      <c r="A26" s="16" t="inlineStr">
        <is>
          <t>CONN-01</t>
        </is>
      </c>
      <c r="B26" s="16" t="inlineStr">
        <is>
          <t>Connectivity</t>
        </is>
      </c>
      <c r="C26" s="16" t="inlineStr">
        <is>
          <t>ICM services</t>
        </is>
      </c>
      <c r="D26" s="16" t="inlineStr">
        <is>
          <t>SMICM</t>
        </is>
      </c>
      <c r="E26" s="16" t="inlineStr">
        <is>
          <t>Verify HTTP/HTTPS services and ICM health</t>
        </is>
      </c>
      <c r="F26" s="16" t="inlineStr"/>
      <c r="G26" s="16" t="inlineStr">
        <is>
          <t>status</t>
        </is>
      </c>
      <c r="H26" s="16" t="inlineStr">
        <is>
          <t>Expected services active</t>
        </is>
      </c>
      <c r="I26" s="16" t="inlineStr"/>
      <c r="J26" s="16" t="inlineStr"/>
      <c r="K26" s="16" t="inlineStr"/>
      <c r="L26" s="16" t="inlineStr"/>
      <c r="M26" s="16" t="inlineStr"/>
      <c r="N26" s="16" t="inlineStr"/>
      <c r="O26" s="16" t="inlineStr"/>
      <c r="P26" s="16" t="inlineStr"/>
      <c r="Q26" s="16" t="inlineStr"/>
    </row>
    <row r="27">
      <c r="A27" s="16" t="inlineStr">
        <is>
          <t>CONN-02</t>
        </is>
      </c>
      <c r="B27" s="16" t="inlineStr">
        <is>
          <t>Connectivity</t>
        </is>
      </c>
      <c r="C27" s="16" t="inlineStr">
        <is>
          <t>Gateway connections</t>
        </is>
      </c>
      <c r="D27" s="16" t="inlineStr">
        <is>
          <t>SMGW</t>
        </is>
      </c>
      <c r="E27" s="16" t="inlineStr">
        <is>
          <t>Review active gateway connections and abnormal connections</t>
        </is>
      </c>
      <c r="F27" s="16" t="inlineStr"/>
      <c r="G27" s="16" t="inlineStr">
        <is>
          <t>count/status</t>
        </is>
      </c>
      <c r="H27" s="16" t="inlineStr">
        <is>
          <t>Historical baseline</t>
        </is>
      </c>
      <c r="I27" s="16" t="inlineStr"/>
      <c r="J27" s="16" t="inlineStr"/>
      <c r="K27" s="16" t="inlineStr"/>
      <c r="L27" s="16" t="inlineStr"/>
      <c r="M27" s="16" t="inlineStr"/>
      <c r="N27" s="16" t="inlineStr"/>
      <c r="O27" s="16" t="inlineStr"/>
      <c r="P27" s="16" t="inlineStr"/>
      <c r="Q27" s="16" t="inlineStr"/>
    </row>
    <row r="28">
      <c r="A28" s="16" t="inlineStr">
        <is>
          <t>MAIL-01</t>
        </is>
      </c>
      <c r="B28" s="16" t="inlineStr">
        <is>
          <t>SAPconnect</t>
        </is>
      </c>
      <c r="C28" s="16" t="inlineStr">
        <is>
          <t>SAPconnect status</t>
        </is>
      </c>
      <c r="D28" s="16" t="inlineStr">
        <is>
          <t>SCOT</t>
        </is>
      </c>
      <c r="E28" s="16" t="inlineStr">
        <is>
          <t>Verify SAPconnect configuration / health</t>
        </is>
      </c>
      <c r="F28" s="16" t="inlineStr"/>
      <c r="G28" s="16" t="inlineStr">
        <is>
          <t>status</t>
        </is>
      </c>
      <c r="H28" s="16" t="inlineStr">
        <is>
          <t>Healthy</t>
        </is>
      </c>
      <c r="I28" s="16" t="inlineStr"/>
      <c r="J28" s="16" t="inlineStr"/>
      <c r="K28" s="16" t="inlineStr"/>
      <c r="L28" s="16" t="inlineStr"/>
      <c r="M28" s="16" t="inlineStr"/>
      <c r="N28" s="16" t="inlineStr"/>
      <c r="O28" s="16" t="inlineStr"/>
      <c r="P28" s="16" t="inlineStr"/>
      <c r="Q28" s="16" t="inlineStr"/>
    </row>
    <row r="29">
      <c r="A29" s="16" t="inlineStr">
        <is>
          <t>MAIL-02</t>
        </is>
      </c>
      <c r="B29" s="16" t="inlineStr">
        <is>
          <t>SAPconnect</t>
        </is>
      </c>
      <c r="C29" s="16" t="inlineStr">
        <is>
          <t>Send requests</t>
        </is>
      </c>
      <c r="D29" s="16" t="inlineStr">
        <is>
          <t>SOST</t>
        </is>
      </c>
      <c r="E29" s="16" t="inlineStr">
        <is>
          <t>Track waiting, sent and error requests</t>
        </is>
      </c>
      <c r="F29" s="16" t="inlineStr"/>
      <c r="G29" s="16" t="inlineStr">
        <is>
          <t>count</t>
        </is>
      </c>
      <c r="H29" s="16" t="inlineStr">
        <is>
          <t>Errors near 0</t>
        </is>
      </c>
      <c r="I29" s="16" t="inlineStr"/>
      <c r="J29" s="16" t="inlineStr"/>
      <c r="K29" s="16" t="inlineStr"/>
      <c r="L29" s="16" t="inlineStr"/>
      <c r="M29" s="16" t="inlineStr"/>
      <c r="N29" s="16" t="inlineStr"/>
      <c r="O29" s="16" t="inlineStr"/>
      <c r="P29" s="16" t="inlineStr"/>
      <c r="Q29" s="16" t="inlineStr"/>
    </row>
    <row r="30">
      <c r="A30" s="16" t="inlineStr">
        <is>
          <t>SPOOL-01</t>
        </is>
      </c>
      <c r="B30" s="16" t="inlineStr">
        <is>
          <t>Spool</t>
        </is>
      </c>
      <c r="C30" s="16" t="inlineStr">
        <is>
          <t>Spool requests</t>
        </is>
      </c>
      <c r="D30" s="16" t="inlineStr">
        <is>
          <t>SP01 / RZ20</t>
        </is>
      </c>
      <c r="E30" s="16" t="inlineStr">
        <is>
          <t>Check spool backlog, processing and completed requests</t>
        </is>
      </c>
      <c r="F30" s="16" t="inlineStr"/>
      <c r="G30" s="16" t="inlineStr">
        <is>
          <t>count</t>
        </is>
      </c>
      <c r="H30" s="16" t="inlineStr">
        <is>
          <t>Customer baseline</t>
        </is>
      </c>
      <c r="I30" s="16" t="inlineStr"/>
      <c r="J30" s="16" t="inlineStr"/>
      <c r="K30" s="16" t="inlineStr"/>
      <c r="L30" s="16" t="inlineStr"/>
      <c r="M30" s="16" t="inlineStr"/>
      <c r="N30" s="16" t="inlineStr"/>
      <c r="O30" s="16" t="inlineStr"/>
      <c r="P30" s="16" t="inlineStr"/>
      <c r="Q30" s="16" t="inlineStr"/>
    </row>
    <row r="31">
      <c r="A31" s="16" t="inlineStr">
        <is>
          <t>SPOOL-02</t>
        </is>
      </c>
      <c r="B31" s="16" t="inlineStr">
        <is>
          <t>Spool</t>
        </is>
      </c>
      <c r="C31" s="16" t="inlineStr">
        <is>
          <t>TemSe administration</t>
        </is>
      </c>
      <c r="D31" s="16" t="inlineStr">
        <is>
          <t>SP12</t>
        </is>
      </c>
      <c r="E31" s="16" t="inlineStr">
        <is>
          <t>Check TemSe health / authorization</t>
        </is>
      </c>
      <c r="F31" s="16" t="inlineStr"/>
      <c r="G31" s="16" t="inlineStr">
        <is>
          <t>status</t>
        </is>
      </c>
      <c r="H31" s="16" t="inlineStr">
        <is>
          <t>Healthy / authorized</t>
        </is>
      </c>
      <c r="I31" s="16" t="inlineStr"/>
      <c r="J31" s="16" t="inlineStr"/>
      <c r="K31" s="16" t="inlineStr"/>
      <c r="L31" s="16" t="inlineStr"/>
      <c r="M31" s="16" t="inlineStr"/>
      <c r="N31" s="16" t="inlineStr"/>
      <c r="O31" s="16" t="inlineStr"/>
      <c r="P31" s="16" t="inlineStr"/>
      <c r="Q31" s="16" t="inlineStr"/>
    </row>
    <row r="32">
      <c r="A32" s="16" t="inlineStr">
        <is>
          <t>SPOOL-03</t>
        </is>
      </c>
      <c r="B32" s="16" t="inlineStr">
        <is>
          <t>Spool</t>
        </is>
      </c>
      <c r="C32" s="16" t="inlineStr">
        <is>
          <t>Spool administration</t>
        </is>
      </c>
      <c r="D32" s="16" t="inlineStr">
        <is>
          <t>SPAD</t>
        </is>
      </c>
      <c r="E32" s="16" t="inlineStr">
        <is>
          <t>Check spool administration/configuration</t>
        </is>
      </c>
      <c r="F32" s="16" t="inlineStr"/>
      <c r="G32" s="16" t="inlineStr">
        <is>
          <t>status</t>
        </is>
      </c>
      <c r="H32" s="16" t="inlineStr">
        <is>
          <t>Configured</t>
        </is>
      </c>
      <c r="I32" s="16" t="inlineStr"/>
      <c r="J32" s="16" t="inlineStr"/>
      <c r="K32" s="16" t="inlineStr"/>
      <c r="L32" s="16" t="inlineStr"/>
      <c r="M32" s="16" t="inlineStr"/>
      <c r="N32" s="16" t="inlineStr"/>
      <c r="O32" s="16" t="inlineStr"/>
      <c r="P32" s="16" t="inlineStr"/>
      <c r="Q32" s="16" t="inlineStr"/>
    </row>
    <row r="33">
      <c r="A33" s="16" t="inlineStr">
        <is>
          <t>DUMP-01</t>
        </is>
      </c>
      <c r="B33" s="16" t="inlineStr">
        <is>
          <t>ABAP Dumps</t>
        </is>
      </c>
      <c r="C33" s="16" t="inlineStr">
        <is>
          <t>Today's ABAP short dumps</t>
        </is>
      </c>
      <c r="D33" s="16" t="inlineStr">
        <is>
          <t>ST22</t>
        </is>
      </c>
      <c r="E33" s="16" t="inlineStr">
        <is>
          <t>Inspect every dump: date, time, user, client, host, runtime error, program and transaction ID</t>
        </is>
      </c>
      <c r="F33" s="16" t="inlineStr"/>
      <c r="G33" s="16" t="inlineStr">
        <is>
          <t>count</t>
        </is>
      </c>
      <c r="H33" s="16" t="inlineStr">
        <is>
          <t>0 preferred</t>
        </is>
      </c>
      <c r="I33" s="16" t="inlineStr"/>
      <c r="J33" s="16" t="inlineStr"/>
      <c r="K33" s="16" t="inlineStr"/>
      <c r="L33" s="16" t="inlineStr"/>
      <c r="M33" s="16" t="inlineStr"/>
      <c r="N33" s="16" t="inlineStr"/>
      <c r="O33" s="16" t="inlineStr"/>
      <c r="P33" s="16" t="inlineStr"/>
      <c r="Q33" s="16" t="inlineStr"/>
    </row>
    <row r="34">
      <c r="A34" s="16" t="inlineStr">
        <is>
          <t>DUMP-02</t>
        </is>
      </c>
      <c r="B34" s="16" t="inlineStr">
        <is>
          <t>ABAP Dumps</t>
        </is>
      </c>
      <c r="C34" s="16" t="inlineStr">
        <is>
          <t>Yesterday's ABAP short dumps</t>
        </is>
      </c>
      <c r="D34" s="16" t="inlineStr">
        <is>
          <t>ST22</t>
        </is>
      </c>
      <c r="E34" s="16" t="inlineStr">
        <is>
          <t>Trend previous-day dump count and compare with today</t>
        </is>
      </c>
      <c r="F34" s="16" t="inlineStr"/>
      <c r="G34" s="16" t="inlineStr">
        <is>
          <t>count</t>
        </is>
      </c>
      <c r="H34" s="16" t="inlineStr">
        <is>
          <t>Historical baseline</t>
        </is>
      </c>
      <c r="I34" s="16" t="inlineStr"/>
      <c r="J34" s="16" t="inlineStr"/>
      <c r="K34" s="16" t="inlineStr"/>
      <c r="L34" s="16" t="inlineStr"/>
      <c r="M34" s="16" t="inlineStr"/>
      <c r="N34" s="16" t="inlineStr"/>
      <c r="O34" s="16" t="inlineStr"/>
      <c r="P34" s="16" t="inlineStr"/>
      <c r="Q34" s="16" t="inlineStr"/>
    </row>
    <row r="35">
      <c r="A35" s="16" t="inlineStr">
        <is>
          <t>DUMP-03</t>
        </is>
      </c>
      <c r="B35" s="16" t="inlineStr">
        <is>
          <t>ABAP Dumps</t>
        </is>
      </c>
      <c r="C35" s="16" t="inlineStr">
        <is>
          <t>Dump recurrence / root cause</t>
        </is>
      </c>
      <c r="D35" s="16" t="inlineStr">
        <is>
          <t>ST22</t>
        </is>
      </c>
      <c r="E35" s="16" t="inlineStr">
        <is>
          <t>Group dumps by user, runtime error, program and combinations</t>
        </is>
      </c>
      <c r="F35" s="16" t="inlineStr"/>
      <c r="G35" s="16" t="inlineStr">
        <is>
          <t>pattern</t>
        </is>
      </c>
      <c r="H35" s="16" t="inlineStr">
        <is>
          <t>No unexplained recurrence</t>
        </is>
      </c>
      <c r="I35" s="16" t="inlineStr"/>
      <c r="J35" s="16" t="inlineStr"/>
      <c r="K35" s="16" t="inlineStr"/>
      <c r="L35" s="16" t="inlineStr"/>
      <c r="M35" s="16" t="inlineStr"/>
      <c r="N35" s="16" t="inlineStr"/>
      <c r="O35" s="16" t="inlineStr"/>
      <c r="P35" s="16" t="inlineStr"/>
      <c r="Q35" s="16" t="inlineStr"/>
    </row>
    <row r="36">
      <c r="A36" s="16" t="inlineStr">
        <is>
          <t>SEC-01</t>
        </is>
      </c>
      <c r="B36" s="16" t="inlineStr">
        <is>
          <t>System Administration</t>
        </is>
      </c>
      <c r="C36" s="16" t="inlineStr">
        <is>
          <t>Client administration</t>
        </is>
      </c>
      <c r="D36" s="16" t="inlineStr">
        <is>
          <t>SCC4</t>
        </is>
      </c>
      <c r="E36" s="16" t="inlineStr">
        <is>
          <t>Check client settings and change recording</t>
        </is>
      </c>
      <c r="F36" s="16" t="inlineStr"/>
      <c r="G36" s="16" t="inlineStr">
        <is>
          <t>status</t>
        </is>
      </c>
      <c r="H36" s="16" t="inlineStr">
        <is>
          <t>Expected configuration</t>
        </is>
      </c>
      <c r="I36" s="16" t="inlineStr"/>
      <c r="J36" s="16" t="inlineStr"/>
      <c r="K36" s="16" t="inlineStr"/>
      <c r="L36" s="16" t="inlineStr"/>
      <c r="M36" s="16" t="inlineStr"/>
      <c r="N36" s="16" t="inlineStr"/>
      <c r="O36" s="16" t="inlineStr"/>
      <c r="P36" s="16" t="inlineStr"/>
      <c r="Q36" s="16" t="inlineStr"/>
    </row>
    <row r="37">
      <c r="A37" s="16" t="inlineStr">
        <is>
          <t>SEC-02</t>
        </is>
      </c>
      <c r="B37" s="16" t="inlineStr">
        <is>
          <t>System Administration</t>
        </is>
      </c>
      <c r="C37" s="16" t="inlineStr">
        <is>
          <t>Global system settings</t>
        </is>
      </c>
      <c r="D37" s="16" t="inlineStr">
        <is>
          <t>SE06</t>
        </is>
      </c>
      <c r="E37" s="16" t="inlineStr">
        <is>
          <t>Review transport/system configuration settings</t>
        </is>
      </c>
      <c r="F37" s="16" t="inlineStr"/>
      <c r="G37" s="16" t="inlineStr">
        <is>
          <t>status</t>
        </is>
      </c>
      <c r="H37" s="16" t="inlineStr">
        <is>
          <t>Expected configuration</t>
        </is>
      </c>
      <c r="I37" s="16" t="inlineStr"/>
      <c r="J37" s="16" t="inlineStr"/>
      <c r="K37" s="16" t="inlineStr"/>
      <c r="L37" s="16" t="inlineStr"/>
      <c r="M37" s="16" t="inlineStr"/>
      <c r="N37" s="16" t="inlineStr"/>
      <c r="O37" s="16" t="inlineStr"/>
      <c r="P37" s="16" t="inlineStr"/>
      <c r="Q37" s="16" t="inlineStr"/>
    </row>
    <row r="38">
      <c r="A38" s="16" t="inlineStr">
        <is>
          <t>SEC-03</t>
        </is>
      </c>
      <c r="B38" s="16" t="inlineStr">
        <is>
          <t>System Administration</t>
        </is>
      </c>
      <c r="C38" s="16" t="inlineStr">
        <is>
          <t>System consistency</t>
        </is>
      </c>
      <c r="D38" s="16" t="inlineStr">
        <is>
          <t>SICK</t>
        </is>
      </c>
      <c r="E38" s="16" t="inlineStr">
        <is>
          <t>Check initial/system consistency</t>
        </is>
      </c>
      <c r="F38" s="16" t="inlineStr"/>
      <c r="G38" s="16" t="inlineStr">
        <is>
          <t>status</t>
        </is>
      </c>
      <c r="H38" s="16" t="inlineStr">
        <is>
          <t>OK</t>
        </is>
      </c>
      <c r="I38" s="16" t="inlineStr"/>
      <c r="J38" s="16" t="inlineStr"/>
      <c r="K38" s="16" t="inlineStr"/>
      <c r="L38" s="16" t="inlineStr"/>
      <c r="M38" s="16" t="inlineStr"/>
      <c r="N38" s="16" t="inlineStr"/>
      <c r="O38" s="16" t="inlineStr"/>
      <c r="P38" s="16" t="inlineStr"/>
      <c r="Q38" s="16" t="inlineStr"/>
    </row>
    <row r="39">
      <c r="A39" s="16" t="inlineStr">
        <is>
          <t>LIC-01</t>
        </is>
      </c>
      <c r="B39" s="16" t="inlineStr">
        <is>
          <t>System Administration</t>
        </is>
      </c>
      <c r="C39" s="16" t="inlineStr">
        <is>
          <t>System license overview</t>
        </is>
      </c>
      <c r="D39" s="16" t="inlineStr">
        <is>
          <t>SLICENSE</t>
        </is>
      </c>
      <c r="E39" s="16" t="inlineStr">
        <is>
          <t>Check license validity / expiry</t>
        </is>
      </c>
      <c r="F39" s="16" t="inlineStr"/>
      <c r="G39" s="16" t="inlineStr">
        <is>
          <t>date/status</t>
        </is>
      </c>
      <c r="H39" s="16" t="inlineStr">
        <is>
          <t>Valid</t>
        </is>
      </c>
      <c r="I39" s="16" t="inlineStr"/>
      <c r="J39" s="16" t="inlineStr"/>
      <c r="K39" s="16" t="inlineStr"/>
      <c r="L39" s="16" t="inlineStr"/>
      <c r="M39" s="16" t="inlineStr"/>
      <c r="N39" s="16" t="inlineStr"/>
      <c r="O39" s="16" t="inlineStr"/>
      <c r="P39" s="16" t="inlineStr"/>
      <c r="Q39" s="16" t="inlineStr"/>
    </row>
    <row r="40">
      <c r="A40" s="16" t="inlineStr">
        <is>
          <t>CONTENT-01</t>
        </is>
      </c>
      <c r="B40" s="16" t="inlineStr">
        <is>
          <t>Content</t>
        </is>
      </c>
      <c r="C40" s="16" t="inlineStr">
        <is>
          <t>Repository / content status</t>
        </is>
      </c>
      <c r="D40" s="16" t="inlineStr">
        <is>
          <t>OAC0</t>
        </is>
      </c>
      <c r="E40" s="16" t="inlineStr">
        <is>
          <t>Check repository status and data size</t>
        </is>
      </c>
      <c r="F40" s="16" t="inlineStr"/>
      <c r="G40" s="16" t="inlineStr">
        <is>
          <t>status/size</t>
        </is>
      </c>
      <c r="H40" s="16" t="inlineStr">
        <is>
          <t>Customer baseline</t>
        </is>
      </c>
      <c r="I40" s="16" t="inlineStr"/>
      <c r="J40" s="16" t="inlineStr"/>
      <c r="K40" s="16" t="inlineStr"/>
      <c r="L40" s="16" t="inlineStr"/>
      <c r="M40" s="16" t="inlineStr"/>
      <c r="N40" s="16" t="inlineStr"/>
      <c r="O40" s="16" t="inlineStr"/>
      <c r="P40" s="16" t="inlineStr"/>
      <c r="Q40" s="16" t="inlineStr"/>
    </row>
    <row r="41">
      <c r="A41" s="16" t="inlineStr">
        <is>
          <t>OS-01</t>
        </is>
      </c>
      <c r="B41" s="16" t="inlineStr">
        <is>
          <t>OS</t>
        </is>
      </c>
      <c r="C41" s="16" t="inlineStr">
        <is>
          <t>Filesystem usage</t>
        </is>
      </c>
      <c r="D41" s="16" t="inlineStr">
        <is>
          <t>OS / ST06</t>
        </is>
      </c>
      <c r="E41" s="16" t="inlineStr">
        <is>
          <t>Check filesystem free space and OS health</t>
        </is>
      </c>
      <c r="F41" s="16" t="inlineStr"/>
      <c r="G41" s="16" t="inlineStr">
        <is>
          <t>% free</t>
        </is>
      </c>
      <c r="H41" s="16" t="inlineStr">
        <is>
          <t>Customer baseline</t>
        </is>
      </c>
      <c r="I41" s="16" t="inlineStr"/>
      <c r="J41" s="16" t="inlineStr"/>
      <c r="K41" s="16" t="inlineStr"/>
      <c r="L41" s="16" t="inlineStr"/>
      <c r="M41" s="16" t="inlineStr"/>
      <c r="N41" s="16" t="inlineStr"/>
      <c r="O41" s="16" t="inlineStr"/>
      <c r="P41" s="16" t="inlineStr"/>
      <c r="Q41" s="16" t="inlineStr"/>
    </row>
    <row r="42">
      <c r="A42" s="16" t="inlineStr">
        <is>
          <t>OS-02</t>
        </is>
      </c>
      <c r="B42" s="16" t="inlineStr">
        <is>
          <t>OS</t>
        </is>
      </c>
      <c r="C42" s="16" t="inlineStr">
        <is>
          <t>OS snapshot CPU / memory</t>
        </is>
      </c>
      <c r="D42" s="16" t="inlineStr">
        <is>
          <t>ST06</t>
        </is>
      </c>
      <c r="E42" s="16" t="inlineStr">
        <is>
          <t>Review CPU, memory, swap and load indicators</t>
        </is>
      </c>
      <c r="F42" s="16" t="inlineStr"/>
      <c r="G42" s="16" t="inlineStr">
        <is>
          <t>% / load</t>
        </is>
      </c>
      <c r="H42" s="16" t="inlineStr">
        <is>
          <t>Customer baseline</t>
        </is>
      </c>
      <c r="I42" s="16" t="inlineStr"/>
      <c r="J42" s="16" t="inlineStr"/>
      <c r="K42" s="16" t="inlineStr"/>
      <c r="L42" s="16" t="inlineStr"/>
      <c r="M42" s="16" t="inlineStr"/>
      <c r="N42" s="16" t="inlineStr"/>
      <c r="O42" s="16" t="inlineStr"/>
      <c r="P42" s="16" t="inlineStr"/>
      <c r="Q42" s="16" t="inlineStr"/>
    </row>
  </sheetData>
  <autoFilter ref="A4:Q204"/>
  <mergeCells count="1">
    <mergeCell ref="A1:Q2"/>
  </mergeCells>
  <conditionalFormatting sqref="I5:I204">
    <cfRule type="expression" priority="1" dxfId="2">
      <formula>$I5="HEALTHY"</formula>
    </cfRule>
    <cfRule type="expression" priority="2" dxfId="1">
      <formula>$I5="WARNING"</formula>
    </cfRule>
    <cfRule type="expression" priority="3" dxfId="0">
      <formula>$I5="CRITICAL"</formula>
    </cfRule>
    <cfRule type="expression" priority="4" dxfId="3">
      <formula>$I5="NOT AUTHORIZED"</formula>
    </cfRule>
  </conditionalFormatting>
  <dataValidations count="1">
    <dataValidation sqref="I5:I204" showDropDown="0" showInputMessage="0" showErrorMessage="0" allowBlank="1" type="list">
      <formula1>"HEALTHY,WARNING,CRITICAL,NOT AUTHORIZED,NOT APPLICABLE,UNKNOWN"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2" customWidth="1" min="3" max="3"/>
    <col width="14" customWidth="1" min="4" max="4"/>
    <col width="18" customWidth="1" min="5" max="5"/>
    <col width="22" customWidth="1" min="6" max="6"/>
    <col width="55" customWidth="1" min="7" max="7"/>
    <col width="28" customWidth="1" min="8" max="8"/>
    <col width="60" customWidth="1" min="9" max="9"/>
    <col width="20" customWidth="1" min="10" max="10"/>
    <col width="24" customWidth="1" min="11" max="11"/>
    <col width="20" customWidth="1" min="12" max="12"/>
    <col width="45" customWidth="1" min="13" max="13"/>
  </cols>
  <sheetData>
    <row r="1">
      <c r="A1" s="1" t="inlineStr">
        <is>
          <t>InfraBeatOps · Evidence Register</t>
        </is>
      </c>
    </row>
    <row r="2"/>
    <row r="4">
      <c r="A4" s="17" t="inlineStr">
        <is>
          <t>Evidence ID</t>
        </is>
      </c>
      <c r="B4" s="17" t="inlineStr">
        <is>
          <t>System</t>
        </is>
      </c>
      <c r="C4" s="17" t="inlineStr">
        <is>
          <t>Client</t>
        </is>
      </c>
      <c r="D4" s="17" t="inlineStr">
        <is>
          <t>T-Code</t>
        </is>
      </c>
      <c r="E4" s="17" t="inlineStr">
        <is>
          <t>Evidence Type</t>
        </is>
      </c>
      <c r="F4" s="17" t="inlineStr">
        <is>
          <t>Capture Timestamp</t>
        </is>
      </c>
      <c r="G4" s="17" t="inlineStr">
        <is>
          <t>Screenshot Path / Link</t>
        </is>
      </c>
      <c r="H4" s="17" t="inlineStr">
        <is>
          <t>Extraction Method</t>
        </is>
      </c>
      <c r="I4" s="17" t="inlineStr">
        <is>
          <t>Extracted Data Summary</t>
        </is>
      </c>
      <c r="J4" s="17" t="inlineStr">
        <is>
          <t>Source User</t>
        </is>
      </c>
      <c r="K4" s="17" t="inlineStr">
        <is>
          <t>Instance / Host</t>
        </is>
      </c>
      <c r="L4" s="17" t="inlineStr">
        <is>
          <t>Integrity / Quality</t>
        </is>
      </c>
      <c r="M4" s="17" t="inlineStr">
        <is>
          <t>Notes</t>
        </is>
      </c>
    </row>
    <row r="5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</row>
    <row r="106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</row>
    <row r="108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</row>
    <row r="110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</row>
    <row r="11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</row>
    <row r="112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</row>
    <row r="113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</row>
    <row r="114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</row>
    <row r="115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</row>
    <row r="116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</row>
    <row r="117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</row>
    <row r="118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</row>
    <row r="119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</row>
    <row r="120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</row>
    <row r="12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</row>
    <row r="122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</row>
    <row r="123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</row>
    <row r="124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</row>
    <row r="125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</row>
    <row r="126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</row>
    <row r="127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</row>
    <row r="128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</row>
    <row r="129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</row>
    <row r="130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</row>
    <row r="13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</row>
    <row r="132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</row>
    <row r="134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</row>
    <row r="135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</row>
    <row r="136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</row>
    <row r="137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</row>
    <row r="138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</row>
    <row r="139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</row>
    <row r="140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</row>
    <row r="14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</row>
    <row r="142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</row>
    <row r="143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</row>
    <row r="144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</row>
    <row r="145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</row>
    <row r="146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</row>
    <row r="147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</row>
    <row r="148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</row>
    <row r="149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</row>
    <row r="150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</row>
    <row r="15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</row>
    <row r="152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</row>
    <row r="153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</row>
    <row r="154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</row>
    <row r="155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</row>
    <row r="156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</row>
    <row r="157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</row>
    <row r="158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</row>
    <row r="159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</row>
    <row r="160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</row>
    <row r="16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</row>
    <row r="162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</row>
    <row r="163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</row>
    <row r="164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</row>
    <row r="165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</row>
    <row r="166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</row>
    <row r="167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</row>
    <row r="168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</row>
    <row r="169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</row>
    <row r="170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</row>
    <row r="17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</row>
    <row r="172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</row>
    <row r="173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</row>
    <row r="174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</row>
    <row r="175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</row>
    <row r="176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</row>
    <row r="177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</row>
    <row r="178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</row>
    <row r="179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</row>
    <row r="180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</row>
    <row r="18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</row>
    <row r="182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</row>
    <row r="183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</row>
    <row r="184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</row>
    <row r="185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</row>
    <row r="186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</row>
    <row r="187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</row>
    <row r="188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</row>
    <row r="189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</row>
    <row r="190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</row>
    <row r="19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</row>
    <row r="192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</row>
    <row r="193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</row>
    <row r="194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</row>
    <row r="195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</row>
    <row r="196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</row>
    <row r="197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</row>
    <row r="198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</row>
    <row r="199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</row>
    <row r="200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</row>
    <row r="201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</row>
    <row r="202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</row>
    <row r="203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</row>
    <row r="204">
      <c r="A204" s="16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</row>
  </sheetData>
  <autoFilter ref="A4:M204"/>
  <mergeCells count="1">
    <mergeCell ref="A1:M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14" customWidth="1" min="4" max="4"/>
    <col width="42" customWidth="1" min="5" max="5"/>
    <col width="20" customWidth="1" min="6" max="6"/>
    <col width="32" customWidth="1" min="7" max="7"/>
    <col width="32" customWidth="1" min="8" max="8"/>
    <col width="55" customWidth="1" min="9" max="9"/>
    <col width="14" customWidth="1" min="10" max="10"/>
    <col width="50" customWidth="1" min="11" max="11"/>
    <col width="50" customWidth="1" min="12" max="12"/>
    <col width="55" customWidth="1" min="13" max="13"/>
    <col width="24" customWidth="1" min="14" max="14"/>
  </cols>
  <sheetData>
    <row r="1">
      <c r="A1" s="1" t="inlineStr">
        <is>
          <t>InfraBeatOps · AI-Assisted Diagnosis</t>
        </is>
      </c>
    </row>
    <row r="2"/>
    <row r="4">
      <c r="A4" s="17" t="inlineStr">
        <is>
          <t>Analysis ID</t>
        </is>
      </c>
      <c r="B4" s="17" t="inlineStr">
        <is>
          <t>Evidence ID</t>
        </is>
      </c>
      <c r="C4" s="17" t="inlineStr">
        <is>
          <t>T-Code</t>
        </is>
      </c>
      <c r="D4" s="17" t="inlineStr">
        <is>
          <t>Severity</t>
        </is>
      </c>
      <c r="E4" s="17" t="inlineStr">
        <is>
          <t>Pattern / Finding</t>
        </is>
      </c>
      <c r="F4" s="17" t="inlineStr">
        <is>
          <t>Affected User</t>
        </is>
      </c>
      <c r="G4" s="17" t="inlineStr">
        <is>
          <t>Affected Program / Job</t>
        </is>
      </c>
      <c r="H4" s="17" t="inlineStr">
        <is>
          <t>Runtime Error / Event</t>
        </is>
      </c>
      <c r="I4" s="17" t="inlineStr">
        <is>
          <t>Likely Cause</t>
        </is>
      </c>
      <c r="J4" s="17" t="inlineStr">
        <is>
          <t>Confidence</t>
        </is>
      </c>
      <c r="K4" s="17" t="inlineStr">
        <is>
          <t>Business / Technical Impact</t>
        </is>
      </c>
      <c r="L4" s="17" t="inlineStr">
        <is>
          <t>Recommended Next Check</t>
        </is>
      </c>
      <c r="M4" s="17" t="inlineStr">
        <is>
          <t>Recommended Action</t>
        </is>
      </c>
      <c r="N4" s="17" t="inlineStr">
        <is>
          <t>Analyst Validation</t>
        </is>
      </c>
    </row>
    <row r="5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</row>
    <row r="106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</row>
    <row r="108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</row>
    <row r="110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</row>
    <row r="11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</row>
    <row r="112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</row>
    <row r="113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</row>
    <row r="114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</row>
    <row r="115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</row>
    <row r="116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</row>
    <row r="117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</row>
    <row r="118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</row>
    <row r="119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</row>
    <row r="120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</row>
    <row r="12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</row>
    <row r="122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</row>
    <row r="123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</row>
    <row r="124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</row>
    <row r="125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</row>
    <row r="126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</row>
    <row r="127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</row>
    <row r="128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</row>
    <row r="129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</row>
    <row r="130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</row>
    <row r="13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</row>
    <row r="132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</row>
    <row r="134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</row>
    <row r="135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</row>
    <row r="136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</row>
    <row r="137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</row>
    <row r="138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</row>
    <row r="139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</row>
    <row r="140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</row>
    <row r="14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</row>
    <row r="142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</row>
    <row r="143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</row>
    <row r="144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</row>
    <row r="145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</row>
    <row r="146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</row>
    <row r="147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</row>
    <row r="148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</row>
    <row r="149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</row>
    <row r="150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</row>
    <row r="15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</row>
    <row r="152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</row>
    <row r="153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</row>
    <row r="154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</row>
    <row r="155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</row>
    <row r="156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</row>
    <row r="157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</row>
    <row r="158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</row>
    <row r="159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</row>
    <row r="160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</row>
    <row r="16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</row>
    <row r="162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</row>
    <row r="163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</row>
    <row r="164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</row>
    <row r="165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</row>
    <row r="166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</row>
    <row r="167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</row>
    <row r="168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</row>
    <row r="169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</row>
    <row r="170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</row>
    <row r="17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</row>
    <row r="172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</row>
    <row r="173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</row>
    <row r="174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</row>
    <row r="175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</row>
    <row r="176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</row>
    <row r="177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</row>
    <row r="178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</row>
    <row r="179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</row>
    <row r="180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</row>
    <row r="18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</row>
    <row r="182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</row>
    <row r="183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</row>
    <row r="184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</row>
    <row r="185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</row>
    <row r="186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</row>
    <row r="187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</row>
    <row r="188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</row>
    <row r="189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</row>
    <row r="190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</row>
    <row r="19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</row>
    <row r="192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</row>
    <row r="193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</row>
    <row r="194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</row>
    <row r="195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</row>
    <row r="196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</row>
    <row r="197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</row>
    <row r="198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</row>
    <row r="199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</row>
    <row r="200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</row>
    <row r="201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</row>
    <row r="202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</row>
    <row r="203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</row>
    <row r="204">
      <c r="A204" s="16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</row>
  </sheetData>
  <mergeCells count="1">
    <mergeCell ref="A1:N2"/>
  </mergeCells>
  <dataValidations count="1">
    <dataValidation sqref="D5:D204" showDropDown="0" showInputMessage="0" showErrorMessage="0" allowBlank="1" type="list">
      <formula1>"INFO,LOW,MEDIUM,HIGH,CRITICAL"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12" customWidth="1" min="4" max="4"/>
    <col width="24" customWidth="1" min="5" max="5"/>
    <col width="16" customWidth="1" min="6" max="6"/>
    <col width="34" customWidth="1" min="7" max="7"/>
    <col width="24" customWidth="1" min="8" max="8"/>
    <col width="18" customWidth="1" min="9" max="9"/>
    <col width="35" customWidth="1" min="10" max="10"/>
    <col width="28" customWidth="1" min="11" max="11"/>
  </cols>
  <sheetData>
    <row r="1">
      <c r="A1" s="1" t="inlineStr">
        <is>
          <t>InfraBeatOps · Historical Monitoring</t>
        </is>
      </c>
    </row>
    <row r="2"/>
    <row r="4">
      <c r="A4" s="17" t="inlineStr">
        <is>
          <t>Date</t>
        </is>
      </c>
      <c r="B4" s="17" t="inlineStr">
        <is>
          <t>Company</t>
        </is>
      </c>
      <c r="C4" s="17" t="inlineStr">
        <is>
          <t>System</t>
        </is>
      </c>
      <c r="D4" s="17" t="inlineStr">
        <is>
          <t>Client</t>
        </is>
      </c>
      <c r="E4" s="17" t="inlineStr">
        <is>
          <t>Monitoring Window</t>
        </is>
      </c>
      <c r="F4" s="17" t="inlineStr">
        <is>
          <t>T-Code</t>
        </is>
      </c>
      <c r="G4" s="17" t="inlineStr">
        <is>
          <t>Metric</t>
        </is>
      </c>
      <c r="H4" s="17" t="inlineStr">
        <is>
          <t>Value</t>
        </is>
      </c>
      <c r="I4" s="17" t="inlineStr">
        <is>
          <t>Status</t>
        </is>
      </c>
      <c r="J4" s="17" t="inlineStr">
        <is>
          <t>Trend / Baseline</t>
        </is>
      </c>
      <c r="K4" s="17" t="inlineStr">
        <is>
          <t>Evidence ID</t>
        </is>
      </c>
    </row>
    <row r="5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</row>
    <row r="106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</row>
    <row r="108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</row>
    <row r="110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</row>
    <row r="11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</row>
    <row r="112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</row>
    <row r="113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</row>
    <row r="114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</row>
    <row r="115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</row>
    <row r="116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</row>
    <row r="117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</row>
    <row r="118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</row>
    <row r="119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</row>
    <row r="120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</row>
    <row r="12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</row>
    <row r="122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</row>
    <row r="123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</row>
    <row r="124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</row>
    <row r="125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</row>
    <row r="126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</row>
    <row r="127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</row>
    <row r="128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</row>
    <row r="129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</row>
    <row r="130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</row>
    <row r="13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</row>
    <row r="132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</row>
    <row r="134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</row>
    <row r="135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</row>
    <row r="136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</row>
    <row r="137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</row>
    <row r="138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</row>
    <row r="139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</row>
    <row r="140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</row>
    <row r="14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</row>
    <row r="142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</row>
    <row r="143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</row>
    <row r="144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</row>
    <row r="145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</row>
    <row r="146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</row>
    <row r="147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</row>
    <row r="148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</row>
    <row r="149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</row>
    <row r="150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</row>
    <row r="15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</row>
    <row r="152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</row>
    <row r="153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</row>
    <row r="154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</row>
    <row r="155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</row>
    <row r="156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</row>
    <row r="157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</row>
    <row r="158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</row>
    <row r="159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</row>
    <row r="160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</row>
    <row r="16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</row>
    <row r="162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</row>
    <row r="163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</row>
    <row r="164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</row>
    <row r="165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</row>
    <row r="166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</row>
    <row r="167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</row>
    <row r="168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</row>
    <row r="169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</row>
    <row r="170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</row>
    <row r="17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</row>
    <row r="172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</row>
    <row r="173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</row>
    <row r="174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</row>
    <row r="175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</row>
    <row r="176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</row>
    <row r="177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</row>
    <row r="178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</row>
    <row r="179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</row>
    <row r="180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</row>
    <row r="18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</row>
    <row r="182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</row>
    <row r="183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</row>
    <row r="184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</row>
    <row r="185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</row>
    <row r="186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</row>
    <row r="187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</row>
    <row r="188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</row>
    <row r="189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</row>
    <row r="190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</row>
    <row r="19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</row>
    <row r="192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</row>
    <row r="193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</row>
    <row r="194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</row>
    <row r="195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</row>
    <row r="196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</row>
    <row r="197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</row>
    <row r="198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</row>
    <row r="199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</row>
    <row r="200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</row>
    <row r="201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</row>
    <row r="202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</row>
    <row r="203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</row>
    <row r="204">
      <c r="A204" s="16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</row>
    <row r="205">
      <c r="A205" s="16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</row>
    <row r="206">
      <c r="A206" s="16" t="n"/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</row>
    <row r="207">
      <c r="A207" s="16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</row>
    <row r="208">
      <c r="A208" s="16" t="n"/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</row>
    <row r="209">
      <c r="A209" s="16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</row>
    <row r="210">
      <c r="A210" s="16" t="n"/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</row>
    <row r="211">
      <c r="A211" s="16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</row>
    <row r="212">
      <c r="A212" s="16" t="n"/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</row>
    <row r="213">
      <c r="A213" s="16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</row>
    <row r="214">
      <c r="A214" s="16" t="n"/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</row>
    <row r="215">
      <c r="A215" s="16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</row>
    <row r="216">
      <c r="A216" s="16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</row>
    <row r="217">
      <c r="A217" s="16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</row>
    <row r="218">
      <c r="A218" s="16" t="n"/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</row>
    <row r="219">
      <c r="A219" s="16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</row>
    <row r="220">
      <c r="A220" s="16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</row>
    <row r="221">
      <c r="A221" s="16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</row>
    <row r="222">
      <c r="A222" s="16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</row>
    <row r="223">
      <c r="A223" s="16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</row>
    <row r="224">
      <c r="A224" s="16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</row>
    <row r="225">
      <c r="A225" s="16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</row>
    <row r="226">
      <c r="A226" s="16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</row>
    <row r="227">
      <c r="A227" s="16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</row>
    <row r="228">
      <c r="A228" s="16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16" t="n"/>
    </row>
    <row r="229">
      <c r="A229" s="16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</row>
    <row r="230">
      <c r="A230" s="16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</row>
    <row r="231">
      <c r="A231" s="16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</row>
    <row r="232">
      <c r="A232" s="16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</row>
    <row r="233">
      <c r="A233" s="16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</row>
    <row r="234">
      <c r="A234" s="16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16" t="n"/>
    </row>
    <row r="235">
      <c r="A235" s="16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</row>
    <row r="236">
      <c r="A236" s="16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</row>
    <row r="237">
      <c r="A237" s="16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</row>
    <row r="238">
      <c r="A238" s="16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16" t="n"/>
    </row>
    <row r="239">
      <c r="A239" s="16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</row>
    <row r="240">
      <c r="A240" s="16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16" t="n"/>
    </row>
    <row r="241">
      <c r="A241" s="16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</row>
    <row r="242">
      <c r="A242" s="16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16" t="n"/>
    </row>
    <row r="243">
      <c r="A243" s="16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</row>
    <row r="244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</row>
    <row r="245">
      <c r="A245" s="16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</row>
    <row r="246">
      <c r="A246" s="16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16" t="n"/>
    </row>
    <row r="247">
      <c r="A247" s="16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</row>
    <row r="248">
      <c r="A248" s="16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16" t="n"/>
    </row>
    <row r="249">
      <c r="A249" s="16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</row>
    <row r="250">
      <c r="A250" s="16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n"/>
    </row>
    <row r="251">
      <c r="A251" s="16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</row>
    <row r="252">
      <c r="A252" s="16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</row>
    <row r="253">
      <c r="A253" s="16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</row>
    <row r="254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16" t="n"/>
    </row>
    <row r="255">
      <c r="A255" s="16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</row>
    <row r="256">
      <c r="A256" s="16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</row>
    <row r="257">
      <c r="A257" s="16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</row>
    <row r="258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</row>
    <row r="259">
      <c r="A259" s="16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</row>
    <row r="260">
      <c r="A260" s="16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16" t="n"/>
    </row>
    <row r="261">
      <c r="A261" s="16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</row>
    <row r="262">
      <c r="A262" s="16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</row>
    <row r="263">
      <c r="A263" s="16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</row>
    <row r="264">
      <c r="A264" s="16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n"/>
    </row>
    <row r="265">
      <c r="A265" s="16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</row>
    <row r="266">
      <c r="A266" s="16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</row>
    <row r="267">
      <c r="A267" s="16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</row>
    <row r="268">
      <c r="A268" s="16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16" t="n"/>
    </row>
    <row r="269">
      <c r="A269" s="16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</row>
    <row r="270">
      <c r="A270" s="16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</row>
    <row r="271">
      <c r="A271" s="16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</row>
    <row r="272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</row>
    <row r="273">
      <c r="A273" s="16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</row>
    <row r="274">
      <c r="A274" s="16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</row>
    <row r="275">
      <c r="A275" s="16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</row>
    <row r="276">
      <c r="A276" s="16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</row>
    <row r="277">
      <c r="A277" s="16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</row>
    <row r="278">
      <c r="A278" s="16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16" t="n"/>
    </row>
    <row r="279">
      <c r="A279" s="16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</row>
    <row r="280">
      <c r="A280" s="16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16" t="n"/>
    </row>
    <row r="281">
      <c r="A281" s="16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</row>
    <row r="282">
      <c r="A282" s="16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16" t="n"/>
    </row>
    <row r="283">
      <c r="A283" s="16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</row>
    <row r="284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</row>
    <row r="285">
      <c r="A285" s="16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</row>
    <row r="286">
      <c r="A286" s="16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</row>
    <row r="287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</row>
    <row r="288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</row>
    <row r="289">
      <c r="A289" s="16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</row>
    <row r="290">
      <c r="A290" s="16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</row>
    <row r="291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</row>
    <row r="292">
      <c r="A292" s="16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16" t="n"/>
    </row>
    <row r="293">
      <c r="A293" s="16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</row>
    <row r="294">
      <c r="A294" s="16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</row>
    <row r="295">
      <c r="A295" s="16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</row>
    <row r="296">
      <c r="A296" s="16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16" t="n"/>
    </row>
    <row r="297">
      <c r="A297" s="16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</row>
    <row r="298">
      <c r="A298" s="16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</row>
    <row r="299">
      <c r="A299" s="16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</row>
    <row r="300">
      <c r="A300" s="16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16" t="n"/>
    </row>
    <row r="301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</row>
    <row r="302">
      <c r="A302" s="16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</row>
    <row r="303">
      <c r="A303" s="16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</row>
    <row r="304">
      <c r="A304" s="16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</row>
  </sheetData>
  <mergeCells count="1">
    <mergeCell ref="A1:K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65" customWidth="1" min="4" max="4"/>
    <col width="42" customWidth="1" min="5" max="5"/>
    <col width="50" customWidth="1" min="6" max="6"/>
    <col width="20" customWidth="1" min="7" max="7"/>
    <col width="35" customWidth="1" min="8" max="8"/>
  </cols>
  <sheetData>
    <row r="1">
      <c r="A1" s="1" t="inlineStr">
        <is>
          <t>InfraBeatOps · T-Code Monitoring Catalog</t>
        </is>
      </c>
    </row>
    <row r="2"/>
    <row r="4">
      <c r="A4" s="17" t="inlineStr">
        <is>
          <t>T-Code</t>
        </is>
      </c>
      <c r="B4" s="17" t="inlineStr">
        <is>
          <t>Domain</t>
        </is>
      </c>
      <c r="C4" s="17" t="inlineStr">
        <is>
          <t>Primary Check</t>
        </is>
      </c>
      <c r="D4" s="17" t="inlineStr">
        <is>
          <t>Important Data to Extract</t>
        </is>
      </c>
      <c r="E4" s="17" t="inlineStr">
        <is>
          <t>Evidence Required</t>
        </is>
      </c>
      <c r="F4" s="17" t="inlineStr">
        <is>
          <t>AI Analysis Candidate</t>
        </is>
      </c>
      <c r="G4" s="17" t="inlineStr">
        <is>
          <t>Frequency</t>
        </is>
      </c>
      <c r="H4" s="17" t="inlineStr">
        <is>
          <t>Source Reference</t>
        </is>
      </c>
    </row>
    <row r="5">
      <c r="A5" s="16" t="inlineStr">
        <is>
          <t>ST22</t>
        </is>
      </c>
      <c r="B5" s="16" t="inlineStr">
        <is>
          <t>ABAP Dumps</t>
        </is>
      </c>
      <c r="C5" s="16" t="inlineStr">
        <is>
          <t>Today's + yesterday's dumps</t>
        </is>
      </c>
      <c r="D5" s="16" t="inlineStr">
        <is>
          <t>Date, time, host, user, client, runtime error, exception, program, module, transaction ID</t>
        </is>
      </c>
      <c r="E5" s="16" t="inlineStr">
        <is>
          <t>ALV screenshot + structured rows</t>
        </is>
      </c>
      <c r="F5" s="16" t="inlineStr">
        <is>
          <t>Yes — recurrence, user/program/error correlation</t>
        </is>
      </c>
      <c r="G5" s="16" t="inlineStr">
        <is>
          <t>Every cycle / daily</t>
        </is>
      </c>
      <c r="H5" s="16" t="inlineStr">
        <is>
          <t>Marico/VMM/Metro reference sheets</t>
        </is>
      </c>
    </row>
    <row r="6">
      <c r="A6" s="16" t="inlineStr">
        <is>
          <t>SM37</t>
        </is>
      </c>
      <c r="B6" s="16" t="inlineStr">
        <is>
          <t>Jobs</t>
        </is>
      </c>
      <c r="C6" s="16" t="inlineStr">
        <is>
          <t>Active + cancelled jobs</t>
        </is>
      </c>
      <c r="D6" s="16" t="inlineStr">
        <is>
          <t>Job name, owner, status, start, duration, delay</t>
        </is>
      </c>
      <c r="E6" s="16" t="inlineStr">
        <is>
          <t>Job list screenshot + rows</t>
        </is>
      </c>
      <c r="F6" s="16" t="inlineStr">
        <is>
          <t>Yes — repeated failures, long-running jobs</t>
        </is>
      </c>
      <c r="G6" s="16" t="inlineStr">
        <is>
          <t>Every cycle</t>
        </is>
      </c>
      <c r="H6" s="16" t="inlineStr">
        <is>
          <t>Marico/VMM/Metro</t>
        </is>
      </c>
    </row>
    <row r="7">
      <c r="A7" s="16" t="inlineStr">
        <is>
          <t>SM12</t>
        </is>
      </c>
      <c r="B7" s="16" t="inlineStr">
        <is>
          <t>Locks</t>
        </is>
      </c>
      <c r="C7" s="16" t="inlineStr">
        <is>
          <t>Old/active locks</t>
        </is>
      </c>
      <c r="D7" s="16" t="inlineStr">
        <is>
          <t>Lock count, age, user</t>
        </is>
      </c>
      <c r="E7" s="16" t="inlineStr">
        <is>
          <t>Lock table screenshot</t>
        </is>
      </c>
      <c r="F7" s="16" t="inlineStr">
        <is>
          <t>Yes — recurring users/objects</t>
        </is>
      </c>
      <c r="G7" s="16" t="inlineStr">
        <is>
          <t>Every cycle</t>
        </is>
      </c>
      <c r="H7" s="16" t="inlineStr">
        <is>
          <t>Marico/VMM/Metro</t>
        </is>
      </c>
    </row>
    <row r="8">
      <c r="A8" s="16" t="inlineStr">
        <is>
          <t>ST03N</t>
        </is>
      </c>
      <c r="B8" s="16" t="inlineStr">
        <is>
          <t>Performance</t>
        </is>
      </c>
      <c r="C8" s="16" t="inlineStr">
        <is>
          <t>Dialog response</t>
        </is>
      </c>
      <c r="D8" s="16" t="inlineStr">
        <is>
          <t>Average response time and workload</t>
        </is>
      </c>
      <c r="E8" s="16" t="inlineStr">
        <is>
          <t>Workload screenshot</t>
        </is>
      </c>
      <c r="F8" s="16" t="inlineStr">
        <is>
          <t>Yes — anomaly/baseline</t>
        </is>
      </c>
      <c r="G8" s="16" t="inlineStr">
        <is>
          <t>Every cycle</t>
        </is>
      </c>
      <c r="H8" s="16" t="inlineStr">
        <is>
          <t>Marico/VMM/Metro</t>
        </is>
      </c>
    </row>
    <row r="9">
      <c r="A9" s="16" t="inlineStr">
        <is>
          <t>SMLG</t>
        </is>
      </c>
      <c r="B9" s="16" t="inlineStr">
        <is>
          <t>Performance</t>
        </is>
      </c>
      <c r="C9" s="16" t="inlineStr">
        <is>
          <t>Logon group response</t>
        </is>
      </c>
      <c r="D9" s="16" t="inlineStr">
        <is>
          <t>Instance, state, response time, users, quality, dialog steps</t>
        </is>
      </c>
      <c r="E9" s="16" t="inlineStr">
        <is>
          <t>SMLG screenshot</t>
        </is>
      </c>
      <c r="F9" s="16" t="inlineStr">
        <is>
          <t>Yes — abnormal instance trend</t>
        </is>
      </c>
      <c r="G9" s="16" t="inlineStr">
        <is>
          <t>Every cycle</t>
        </is>
      </c>
      <c r="H9" s="16" t="inlineStr">
        <is>
          <t>Marico reference</t>
        </is>
      </c>
    </row>
    <row r="10">
      <c r="A10" s="16" t="inlineStr">
        <is>
          <t>SM51</t>
        </is>
      </c>
      <c r="B10" s="16" t="inlineStr">
        <is>
          <t>Runtime</t>
        </is>
      </c>
      <c r="C10" s="16" t="inlineStr">
        <is>
          <t>Application servers</t>
        </is>
      </c>
      <c r="D10" s="16" t="inlineStr">
        <is>
          <t>Instance names, status, services</t>
        </is>
      </c>
      <c r="E10" s="16" t="inlineStr">
        <is>
          <t>Server list screenshot</t>
        </is>
      </c>
      <c r="F10" s="16" t="inlineStr">
        <is>
          <t>Yes — missing/inactive instance</t>
        </is>
      </c>
      <c r="G10" s="16" t="inlineStr">
        <is>
          <t>Every cycle</t>
        </is>
      </c>
      <c r="H10" s="16" t="inlineStr">
        <is>
          <t>Marico/VMM/Metro</t>
        </is>
      </c>
    </row>
    <row r="11">
      <c r="A11" s="16" t="inlineStr">
        <is>
          <t>SM50</t>
        </is>
      </c>
      <c r="B11" s="16" t="inlineStr">
        <is>
          <t>Runtime</t>
        </is>
      </c>
      <c r="C11" s="16" t="inlineStr">
        <is>
          <t>Work processes</t>
        </is>
      </c>
      <c r="D11" s="16" t="inlineStr">
        <is>
          <t>WP status, runtime, program, user, mode</t>
        </is>
      </c>
      <c r="E11" s="16" t="inlineStr">
        <is>
          <t>WP screenshot</t>
        </is>
      </c>
      <c r="F11" s="16" t="inlineStr">
        <is>
          <t>Yes — long-running/PRIV patterns</t>
        </is>
      </c>
      <c r="G11" s="16" t="inlineStr">
        <is>
          <t>Every cycle</t>
        </is>
      </c>
      <c r="H11" s="16" t="inlineStr">
        <is>
          <t>Marico reference</t>
        </is>
      </c>
    </row>
    <row r="12">
      <c r="A12" s="16" t="inlineStr">
        <is>
          <t>SM66</t>
        </is>
      </c>
      <c r="B12" s="16" t="inlineStr">
        <is>
          <t>Runtime</t>
        </is>
      </c>
      <c r="C12" s="16" t="inlineStr">
        <is>
          <t>System-wide work processes</t>
        </is>
      </c>
      <c r="D12" s="16" t="inlineStr">
        <is>
          <t>Running/long-running/PRIV processes</t>
        </is>
      </c>
      <c r="E12" s="16" t="inlineStr">
        <is>
          <t>WP overview screenshot</t>
        </is>
      </c>
      <c r="F12" s="16" t="inlineStr">
        <is>
          <t>Yes — cross-instance correlation</t>
        </is>
      </c>
      <c r="G12" s="16" t="inlineStr">
        <is>
          <t>Every cycle</t>
        </is>
      </c>
      <c r="H12" s="16" t="inlineStr">
        <is>
          <t>Marico/VMM/Metro</t>
        </is>
      </c>
    </row>
    <row r="13">
      <c r="A13" s="16" t="inlineStr">
        <is>
          <t>SM13</t>
        </is>
      </c>
      <c r="B13" s="16" t="inlineStr">
        <is>
          <t>Updates</t>
        </is>
      </c>
      <c r="C13" s="16" t="inlineStr">
        <is>
          <t>Update terminations</t>
        </is>
      </c>
      <c r="D13" s="16" t="inlineStr">
        <is>
          <t>Count, user, date/time, error</t>
        </is>
      </c>
      <c r="E13" s="16" t="inlineStr">
        <is>
          <t>Update list screenshot</t>
        </is>
      </c>
      <c r="F13" s="16" t="inlineStr">
        <is>
          <t>Yes — repeated failures</t>
        </is>
      </c>
      <c r="G13" s="16" t="inlineStr">
        <is>
          <t>Every cycle</t>
        </is>
      </c>
      <c r="H13" s="16" t="inlineStr">
        <is>
          <t>Marico/VMM/Metro</t>
        </is>
      </c>
    </row>
    <row r="14">
      <c r="A14" s="16" t="inlineStr">
        <is>
          <t>SM58</t>
        </is>
      </c>
      <c r="B14" s="16" t="inlineStr">
        <is>
          <t>RFC</t>
        </is>
      </c>
      <c r="C14" s="16" t="inlineStr">
        <is>
          <t>tRFC errors</t>
        </is>
      </c>
      <c r="D14" s="16" t="inlineStr">
        <is>
          <t>Error count, destination, status</t>
        </is>
      </c>
      <c r="E14" s="16" t="inlineStr">
        <is>
          <t>tRFC screenshot</t>
        </is>
      </c>
      <c r="F14" s="16" t="inlineStr">
        <is>
          <t>Yes — destination recurrence</t>
        </is>
      </c>
      <c r="G14" s="16" t="inlineStr">
        <is>
          <t>Every cycle</t>
        </is>
      </c>
      <c r="H14" s="16" t="inlineStr">
        <is>
          <t>Marico/VMM/Metro</t>
        </is>
      </c>
    </row>
    <row r="15">
      <c r="A15" s="16" t="inlineStr">
        <is>
          <t>SMQ1</t>
        </is>
      </c>
      <c r="B15" s="16" t="inlineStr">
        <is>
          <t>qRFC</t>
        </is>
      </c>
      <c r="C15" s="16" t="inlineStr">
        <is>
          <t>Outbound queue</t>
        </is>
      </c>
      <c r="D15" s="16" t="inlineStr">
        <is>
          <t>Entries and queue count</t>
        </is>
      </c>
      <c r="E15" s="16" t="inlineStr">
        <is>
          <t>Queue screenshot</t>
        </is>
      </c>
      <c r="F15" s="16" t="inlineStr">
        <is>
          <t>Yes — backlog trend</t>
        </is>
      </c>
      <c r="G15" s="16" t="inlineStr">
        <is>
          <t>Every cycle</t>
        </is>
      </c>
      <c r="H15" s="16" t="inlineStr">
        <is>
          <t>Marico/VMM/Metro</t>
        </is>
      </c>
    </row>
    <row r="16">
      <c r="A16" s="16" t="inlineStr">
        <is>
          <t>SMQ2</t>
        </is>
      </c>
      <c r="B16" s="16" t="inlineStr">
        <is>
          <t>qRFC</t>
        </is>
      </c>
      <c r="C16" s="16" t="inlineStr">
        <is>
          <t>Inbound queue</t>
        </is>
      </c>
      <c r="D16" s="16" t="inlineStr">
        <is>
          <t>Entries and queue count</t>
        </is>
      </c>
      <c r="E16" s="16" t="inlineStr">
        <is>
          <t>Queue screenshot</t>
        </is>
      </c>
      <c r="F16" s="16" t="inlineStr">
        <is>
          <t>Yes — backlog trend</t>
        </is>
      </c>
      <c r="G16" s="16" t="inlineStr">
        <is>
          <t>Every cycle</t>
        </is>
      </c>
      <c r="H16" s="16" t="inlineStr">
        <is>
          <t>Marico/VMM</t>
        </is>
      </c>
    </row>
    <row r="17">
      <c r="A17" s="16" t="inlineStr">
        <is>
          <t>SOST</t>
        </is>
      </c>
      <c r="B17" s="16" t="inlineStr">
        <is>
          <t>SAPconnect</t>
        </is>
      </c>
      <c r="C17" s="16" t="inlineStr">
        <is>
          <t>Send requests</t>
        </is>
      </c>
      <c r="D17" s="16" t="inlineStr">
        <is>
          <t>Waiting, sent, errors</t>
        </is>
      </c>
      <c r="E17" s="16" t="inlineStr">
        <is>
          <t>Send request screenshot</t>
        </is>
      </c>
      <c r="F17" s="16" t="inlineStr">
        <is>
          <t>Yes — error trend</t>
        </is>
      </c>
      <c r="G17" s="16" t="inlineStr">
        <is>
          <t>Every cycle</t>
        </is>
      </c>
      <c r="H17" s="16" t="inlineStr">
        <is>
          <t>Marico/VMM/Metro</t>
        </is>
      </c>
    </row>
    <row r="18">
      <c r="A18" s="16" t="inlineStr">
        <is>
          <t>SP01</t>
        </is>
      </c>
      <c r="B18" s="16" t="inlineStr">
        <is>
          <t>Spool</t>
        </is>
      </c>
      <c r="C18" s="16" t="inlineStr">
        <is>
          <t>Spool requests</t>
        </is>
      </c>
      <c r="D18" s="16" t="inlineStr">
        <is>
          <t>Total, processing, completed, no-output</t>
        </is>
      </c>
      <c r="E18" s="16" t="inlineStr">
        <is>
          <t>Spool screenshot</t>
        </is>
      </c>
      <c r="F18" s="16" t="inlineStr">
        <is>
          <t>Yes — backlog trend</t>
        </is>
      </c>
      <c r="G18" s="16" t="inlineStr">
        <is>
          <t>Every cycle</t>
        </is>
      </c>
      <c r="H18" s="16" t="inlineStr">
        <is>
          <t>Marico/VMM/Metro</t>
        </is>
      </c>
    </row>
    <row r="19">
      <c r="A19" s="16" t="inlineStr">
        <is>
          <t>DB12</t>
        </is>
      </c>
      <c r="B19" s="16" t="inlineStr">
        <is>
          <t>Database</t>
        </is>
      </c>
      <c r="C19" s="16" t="inlineStr">
        <is>
          <t>Backup status</t>
        </is>
      </c>
      <c r="D19" s="16" t="inlineStr">
        <is>
          <t>Latest backup timestamp/status</t>
        </is>
      </c>
      <c r="E19" s="16" t="inlineStr">
        <is>
          <t>Backup catalog screenshot</t>
        </is>
      </c>
      <c r="F19" s="16" t="inlineStr">
        <is>
          <t>Yes — missing/late backup</t>
        </is>
      </c>
      <c r="G19" s="16" t="inlineStr">
        <is>
          <t>Daily</t>
        </is>
      </c>
      <c r="H19" s="16" t="inlineStr">
        <is>
          <t>Marico/VMM/Metro</t>
        </is>
      </c>
    </row>
    <row r="20">
      <c r="A20" s="16" t="inlineStr">
        <is>
          <t>DB02</t>
        </is>
      </c>
      <c r="B20" s="16" t="inlineStr">
        <is>
          <t>Database</t>
        </is>
      </c>
      <c r="C20" s="16" t="inlineStr">
        <is>
          <t>Space/growth</t>
        </is>
      </c>
      <c r="D20" s="16" t="inlineStr">
        <is>
          <t>Used/free capacity, growth</t>
        </is>
      </c>
      <c r="E20" s="16" t="inlineStr">
        <is>
          <t>DB overview screenshot</t>
        </is>
      </c>
      <c r="F20" s="16" t="inlineStr">
        <is>
          <t>Yes — trend forecast</t>
        </is>
      </c>
      <c r="G20" s="16" t="inlineStr">
        <is>
          <t>Daily</t>
        </is>
      </c>
      <c r="H20" s="16" t="inlineStr">
        <is>
          <t>Marico/VMM/Metro</t>
        </is>
      </c>
    </row>
    <row r="21">
      <c r="A21" s="16" t="inlineStr">
        <is>
          <t>DB01</t>
        </is>
      </c>
      <c r="B21" s="16" t="inlineStr">
        <is>
          <t>Database</t>
        </is>
      </c>
      <c r="C21" s="16" t="inlineStr">
        <is>
          <t>Blocked transactions</t>
        </is>
      </c>
      <c r="D21" s="16" t="inlineStr">
        <is>
          <t>Blocked/exclusive waits</t>
        </is>
      </c>
      <c r="E21" s="16" t="inlineStr">
        <is>
          <t>DB blocked transaction screenshot</t>
        </is>
      </c>
      <c r="F21" s="16" t="inlineStr">
        <is>
          <t>Yes — recurrence</t>
        </is>
      </c>
      <c r="G21" s="16" t="inlineStr">
        <is>
          <t>Daily</t>
        </is>
      </c>
      <c r="H21" s="16" t="inlineStr">
        <is>
          <t>Marico/Metro</t>
        </is>
      </c>
    </row>
    <row r="22">
      <c r="A22" s="16" t="inlineStr">
        <is>
          <t>SM21</t>
        </is>
      </c>
      <c r="B22" s="16" t="inlineStr">
        <is>
          <t>System Log</t>
        </is>
      </c>
      <c r="C22" s="16" t="inlineStr">
        <is>
          <t>Critical system events</t>
        </is>
      </c>
      <c r="D22" s="16" t="inlineStr">
        <is>
          <t>Event text, user, timestamp, resource</t>
        </is>
      </c>
      <c r="E22" s="16" t="inlineStr">
        <is>
          <t>System log screenshot</t>
        </is>
      </c>
      <c r="F22" s="16" t="inlineStr">
        <is>
          <t>Yes — clustering and correlation</t>
        </is>
      </c>
      <c r="G22" s="16" t="inlineStr">
        <is>
          <t>Every cycle</t>
        </is>
      </c>
      <c r="H22" s="16" t="inlineStr">
        <is>
          <t>Marico/Metro</t>
        </is>
      </c>
    </row>
    <row r="23">
      <c r="A23" s="16" t="inlineStr">
        <is>
          <t>SMICM</t>
        </is>
      </c>
      <c r="B23" s="16" t="inlineStr">
        <is>
          <t>Connectivity</t>
        </is>
      </c>
      <c r="C23" s="16" t="inlineStr">
        <is>
          <t>ICM status</t>
        </is>
      </c>
      <c r="D23" s="16" t="inlineStr">
        <is>
          <t>HTTP/HTTPS service state</t>
        </is>
      </c>
      <c r="E23" s="16" t="inlineStr">
        <is>
          <t>ICM screenshot</t>
        </is>
      </c>
      <c r="F23" s="16" t="inlineStr">
        <is>
          <t>Yes — service anomaly</t>
        </is>
      </c>
      <c r="G23" s="16" t="inlineStr">
        <is>
          <t>Every cycle</t>
        </is>
      </c>
      <c r="H23" s="16" t="inlineStr">
        <is>
          <t>Marico/VMM</t>
        </is>
      </c>
    </row>
    <row r="24">
      <c r="A24" s="16" t="inlineStr">
        <is>
          <t>SMGW</t>
        </is>
      </c>
      <c r="B24" s="16" t="inlineStr">
        <is>
          <t>Connectivity</t>
        </is>
      </c>
      <c r="C24" s="16" t="inlineStr">
        <is>
          <t>Gateway</t>
        </is>
      </c>
      <c r="D24" s="16" t="inlineStr">
        <is>
          <t>Active connections</t>
        </is>
      </c>
      <c r="E24" s="16" t="inlineStr">
        <is>
          <t>Gateway screenshot</t>
        </is>
      </c>
      <c r="F24" s="16" t="inlineStr">
        <is>
          <t>Yes — abnormal connection patterns</t>
        </is>
      </c>
      <c r="G24" s="16" t="inlineStr">
        <is>
          <t>Every cycle</t>
        </is>
      </c>
      <c r="H24" s="16" t="inlineStr">
        <is>
          <t>Marico</t>
        </is>
      </c>
    </row>
    <row r="25">
      <c r="A25" s="16" t="inlineStr">
        <is>
          <t>SCOT</t>
        </is>
      </c>
      <c r="B25" s="16" t="inlineStr">
        <is>
          <t>SAPconnect</t>
        </is>
      </c>
      <c r="C25" s="16" t="inlineStr">
        <is>
          <t>SAPconnect health</t>
        </is>
      </c>
      <c r="D25" s="16" t="inlineStr">
        <is>
          <t>Configuration/connection state</t>
        </is>
      </c>
      <c r="E25" s="16" t="inlineStr">
        <is>
          <t>SCOT screenshot</t>
        </is>
      </c>
      <c r="F25" s="16" t="inlineStr">
        <is>
          <t>Yes</t>
        </is>
      </c>
      <c r="G25" s="16" t="inlineStr">
        <is>
          <t>Daily</t>
        </is>
      </c>
      <c r="H25" s="16" t="inlineStr">
        <is>
          <t>Marico/Metro</t>
        </is>
      </c>
    </row>
    <row r="26">
      <c r="A26" s="16" t="inlineStr">
        <is>
          <t>SICK</t>
        </is>
      </c>
      <c r="B26" s="16" t="inlineStr">
        <is>
          <t>Consistency</t>
        </is>
      </c>
      <c r="C26" s="16" t="inlineStr">
        <is>
          <t>Initial consistency</t>
        </is>
      </c>
      <c r="D26" s="16" t="inlineStr">
        <is>
          <t>Check result</t>
        </is>
      </c>
      <c r="E26" s="16" t="inlineStr">
        <is>
          <t>Consistency screenshot</t>
        </is>
      </c>
      <c r="F26" s="16" t="inlineStr">
        <is>
          <t>Limited</t>
        </is>
      </c>
      <c r="G26" s="16" t="inlineStr">
        <is>
          <t>Daily</t>
        </is>
      </c>
      <c r="H26" s="16" t="inlineStr">
        <is>
          <t>VMM</t>
        </is>
      </c>
    </row>
    <row r="27">
      <c r="A27" s="16" t="inlineStr">
        <is>
          <t>SCC4</t>
        </is>
      </c>
      <c r="B27" s="16" t="inlineStr">
        <is>
          <t>Security</t>
        </is>
      </c>
      <c r="C27" s="16" t="inlineStr">
        <is>
          <t>Client settings</t>
        </is>
      </c>
      <c r="D27" s="16" t="inlineStr">
        <is>
          <t>Change recording / client status</t>
        </is>
      </c>
      <c r="E27" s="16" t="inlineStr">
        <is>
          <t>Client administration screenshot</t>
        </is>
      </c>
      <c r="F27" s="16" t="inlineStr">
        <is>
          <t>Limited</t>
        </is>
      </c>
      <c r="G27" s="16" t="inlineStr">
        <is>
          <t>Daily</t>
        </is>
      </c>
      <c r="H27" s="16" t="inlineStr">
        <is>
          <t>Marico/VMM/Metro</t>
        </is>
      </c>
    </row>
    <row r="28">
      <c r="A28" s="16" t="inlineStr">
        <is>
          <t>SE06</t>
        </is>
      </c>
      <c r="B28" s="16" t="inlineStr">
        <is>
          <t>Security</t>
        </is>
      </c>
      <c r="C28" s="16" t="inlineStr">
        <is>
          <t>Global settings</t>
        </is>
      </c>
      <c r="D28" s="16" t="inlineStr">
        <is>
          <t>Transport/system settings</t>
        </is>
      </c>
      <c r="E28" s="16" t="inlineStr">
        <is>
          <t>Settings screenshot</t>
        </is>
      </c>
      <c r="F28" s="16" t="inlineStr">
        <is>
          <t>Limited</t>
        </is>
      </c>
      <c r="G28" s="16" t="inlineStr">
        <is>
          <t>Daily</t>
        </is>
      </c>
      <c r="H28" s="16" t="inlineStr">
        <is>
          <t>Marico</t>
        </is>
      </c>
    </row>
    <row r="29">
      <c r="A29" s="16" t="inlineStr">
        <is>
          <t>ST02</t>
        </is>
      </c>
      <c r="B29" s="16" t="inlineStr">
        <is>
          <t>Performance</t>
        </is>
      </c>
      <c r="C29" s="16" t="inlineStr">
        <is>
          <t>Buffers</t>
        </is>
      </c>
      <c r="D29" s="16" t="inlineStr">
        <is>
          <t>Buffer quality / directory entries</t>
        </is>
      </c>
      <c r="E29" s="16" t="inlineStr">
        <is>
          <t>Buffer screenshot</t>
        </is>
      </c>
      <c r="F29" s="16" t="inlineStr">
        <is>
          <t>Yes — trend/anomaly</t>
        </is>
      </c>
      <c r="G29" s="16" t="inlineStr">
        <is>
          <t>Daily</t>
        </is>
      </c>
      <c r="H29" s="16" t="inlineStr">
        <is>
          <t>Marico</t>
        </is>
      </c>
    </row>
    <row r="30">
      <c r="A30" s="16" t="inlineStr">
        <is>
          <t>ST06</t>
        </is>
      </c>
      <c r="B30" s="16" t="inlineStr">
        <is>
          <t>OS</t>
        </is>
      </c>
      <c r="C30" s="16" t="inlineStr">
        <is>
          <t>OS snapshot</t>
        </is>
      </c>
      <c r="D30" s="16" t="inlineStr">
        <is>
          <t>CPU, memory, load, filesystem</t>
        </is>
      </c>
      <c r="E30" s="16" t="inlineStr">
        <is>
          <t>OS snapshot screenshot</t>
        </is>
      </c>
      <c r="F30" s="16" t="inlineStr">
        <is>
          <t>Yes — anomaly/correlation</t>
        </is>
      </c>
      <c r="G30" s="16" t="inlineStr">
        <is>
          <t>Hourly</t>
        </is>
      </c>
      <c r="H30" s="16" t="inlineStr">
        <is>
          <t>Marico/MIP</t>
        </is>
      </c>
    </row>
    <row r="31">
      <c r="A31" s="16" t="inlineStr">
        <is>
          <t>STAD</t>
        </is>
      </c>
      <c r="B31" s="16" t="inlineStr">
        <is>
          <t>Performance</t>
        </is>
      </c>
      <c r="C31" s="16" t="inlineStr">
        <is>
          <t>Hourly workload</t>
        </is>
      </c>
      <c r="D31" s="16" t="inlineStr">
        <is>
          <t>Workload records / response</t>
        </is>
      </c>
      <c r="E31" s="16" t="inlineStr">
        <is>
          <t>STAD screenshot</t>
        </is>
      </c>
      <c r="F31" s="16" t="inlineStr">
        <is>
          <t>Yes — expensive workload correlation</t>
        </is>
      </c>
      <c r="G31" s="16" t="inlineStr">
        <is>
          <t>Hourly</t>
        </is>
      </c>
      <c r="H31" s="16" t="inlineStr">
        <is>
          <t>MIP</t>
        </is>
      </c>
    </row>
    <row r="32">
      <c r="A32" s="16" t="inlineStr">
        <is>
          <t>ST02</t>
        </is>
      </c>
      <c r="B32" s="16" t="inlineStr">
        <is>
          <t>Performance</t>
        </is>
      </c>
      <c r="C32" s="16" t="inlineStr">
        <is>
          <t>Buffer tuning</t>
        </is>
      </c>
      <c r="D32" s="16" t="inlineStr">
        <is>
          <t>Directory/buffer fluctuation</t>
        </is>
      </c>
      <c r="E32" s="16" t="inlineStr">
        <is>
          <t>ST02 screenshot</t>
        </is>
      </c>
      <c r="F32" s="16" t="inlineStr">
        <is>
          <t>Yes</t>
        </is>
      </c>
      <c r="G32" s="16" t="inlineStr">
        <is>
          <t>Daily</t>
        </is>
      </c>
      <c r="H32" s="16" t="inlineStr">
        <is>
          <t>Marico</t>
        </is>
      </c>
    </row>
    <row r="33">
      <c r="A33" s="16" t="inlineStr">
        <is>
          <t>SP12</t>
        </is>
      </c>
      <c r="B33" s="16" t="inlineStr">
        <is>
          <t>Spool</t>
        </is>
      </c>
      <c r="C33" s="16" t="inlineStr">
        <is>
          <t>TemSe</t>
        </is>
      </c>
      <c r="D33" s="16" t="inlineStr">
        <is>
          <t>Health / authorization</t>
        </is>
      </c>
      <c r="E33" s="16" t="inlineStr">
        <is>
          <t>TemSe screenshot</t>
        </is>
      </c>
      <c r="F33" s="16" t="inlineStr">
        <is>
          <t>Limited</t>
        </is>
      </c>
      <c r="G33" s="16" t="inlineStr">
        <is>
          <t>Daily</t>
        </is>
      </c>
      <c r="H33" s="16" t="inlineStr">
        <is>
          <t>Marico</t>
        </is>
      </c>
    </row>
    <row r="34">
      <c r="A34" s="16" t="inlineStr">
        <is>
          <t>SPAD</t>
        </is>
      </c>
      <c r="B34" s="16" t="inlineStr">
        <is>
          <t>Spool</t>
        </is>
      </c>
      <c r="C34" s="16" t="inlineStr">
        <is>
          <t>Spool administration</t>
        </is>
      </c>
      <c r="D34" s="16" t="inlineStr">
        <is>
          <t>Configuration</t>
        </is>
      </c>
      <c r="E34" s="16" t="inlineStr">
        <is>
          <t>SPAD screenshot</t>
        </is>
      </c>
      <c r="F34" s="16" t="inlineStr">
        <is>
          <t>Limited</t>
        </is>
      </c>
      <c r="G34" s="16" t="inlineStr">
        <is>
          <t>Daily</t>
        </is>
      </c>
      <c r="H34" s="16" t="inlineStr">
        <is>
          <t>Marico</t>
        </is>
      </c>
    </row>
    <row r="35">
      <c r="A35" s="16" t="inlineStr">
        <is>
          <t>OAC0</t>
        </is>
      </c>
      <c r="B35" s="16" t="inlineStr">
        <is>
          <t>Content</t>
        </is>
      </c>
      <c r="C35" s="16" t="inlineStr">
        <is>
          <t>Repository</t>
        </is>
      </c>
      <c r="D35" s="16" t="inlineStr">
        <is>
          <t>Status/data size</t>
        </is>
      </c>
      <c r="E35" s="16" t="inlineStr">
        <is>
          <t>OAC0 screenshot</t>
        </is>
      </c>
      <c r="F35" s="16" t="inlineStr">
        <is>
          <t>Limited</t>
        </is>
      </c>
      <c r="G35" s="16" t="inlineStr">
        <is>
          <t>Daily</t>
        </is>
      </c>
      <c r="H35" s="16" t="inlineStr">
        <is>
          <t>VMM</t>
        </is>
      </c>
    </row>
    <row r="36">
      <c r="A36" s="16" t="inlineStr">
        <is>
          <t>SLICENSE</t>
        </is>
      </c>
      <c r="B36" s="16" t="inlineStr">
        <is>
          <t>Administration</t>
        </is>
      </c>
      <c r="C36" s="16" t="inlineStr">
        <is>
          <t>License</t>
        </is>
      </c>
      <c r="D36" s="16" t="inlineStr">
        <is>
          <t>Validity / expiry</t>
        </is>
      </c>
      <c r="E36" s="16" t="inlineStr">
        <is>
          <t>License screenshot</t>
        </is>
      </c>
      <c r="F36" s="16" t="inlineStr">
        <is>
          <t>Limited</t>
        </is>
      </c>
      <c r="G36" s="16" t="inlineStr">
        <is>
          <t>Daily</t>
        </is>
      </c>
      <c r="H36" s="16" t="inlineStr">
        <is>
          <t>VMM</t>
        </is>
      </c>
    </row>
  </sheetData>
  <mergeCells count="1">
    <mergeCell ref="A1:H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55" customWidth="1" min="6" max="6"/>
  </cols>
  <sheetData>
    <row r="1">
      <c r="A1" s="1" t="inlineStr">
        <is>
          <t>InfraBeatOps · Monitoring Configuration</t>
        </is>
      </c>
    </row>
    <row r="2"/>
    <row r="4">
      <c r="A4" s="17" t="inlineStr">
        <is>
          <t>Metric / Check</t>
        </is>
      </c>
      <c r="B4" s="17" t="inlineStr">
        <is>
          <t>Warning</t>
        </is>
      </c>
      <c r="C4" s="17" t="inlineStr">
        <is>
          <t>Critical</t>
        </is>
      </c>
      <c r="D4" s="17" t="inlineStr">
        <is>
          <t>Unit</t>
        </is>
      </c>
      <c r="E4" s="17" t="inlineStr">
        <is>
          <t>Direction</t>
        </is>
      </c>
      <c r="F4" s="17" t="inlineStr">
        <is>
          <t>Notes</t>
        </is>
      </c>
    </row>
    <row r="5">
      <c r="A5" s="16" t="inlineStr">
        <is>
          <t>cpu</t>
        </is>
      </c>
      <c r="B5" s="16" t="n">
        <v>80</v>
      </c>
      <c r="C5" s="16" t="n">
        <v>90</v>
      </c>
      <c r="D5" s="16" t="inlineStr">
        <is>
          <t>%</t>
        </is>
      </c>
      <c r="E5" s="16" t="inlineStr">
        <is>
          <t>HIGHER</t>
        </is>
      </c>
      <c r="F5" s="16" t="inlineStr">
        <is>
          <t>OS</t>
        </is>
      </c>
    </row>
    <row r="6">
      <c r="A6" s="16" t="inlineStr">
        <is>
          <t>memory</t>
        </is>
      </c>
      <c r="B6" s="16" t="n">
        <v>80</v>
      </c>
      <c r="C6" s="16" t="n">
        <v>90</v>
      </c>
      <c r="D6" s="16" t="inlineStr">
        <is>
          <t>%</t>
        </is>
      </c>
      <c r="E6" s="16" t="inlineStr">
        <is>
          <t>HIGHER</t>
        </is>
      </c>
      <c r="F6" s="16" t="inlineStr">
        <is>
          <t>OS</t>
        </is>
      </c>
    </row>
    <row r="7">
      <c r="A7" s="16" t="inlineStr">
        <is>
          <t>swap</t>
        </is>
      </c>
      <c r="B7" s="16" t="n">
        <v>20</v>
      </c>
      <c r="C7" s="16" t="n">
        <v>40</v>
      </c>
      <c r="D7" s="16" t="inlineStr">
        <is>
          <t>%</t>
        </is>
      </c>
      <c r="E7" s="16" t="inlineStr">
        <is>
          <t>HIGHER</t>
        </is>
      </c>
      <c r="F7" s="16" t="inlineStr">
        <is>
          <t>OS</t>
        </is>
      </c>
    </row>
    <row r="8">
      <c r="A8" s="16" t="inlineStr">
        <is>
          <t>disk</t>
        </is>
      </c>
      <c r="B8" s="16" t="n">
        <v>80</v>
      </c>
      <c r="C8" s="16" t="n">
        <v>90</v>
      </c>
      <c r="D8" s="16" t="inlineStr">
        <is>
          <t>%</t>
        </is>
      </c>
      <c r="E8" s="16" t="inlineStr">
        <is>
          <t>HIGHER</t>
        </is>
      </c>
      <c r="F8" s="16" t="inlineStr">
        <is>
          <t>Filesystem</t>
        </is>
      </c>
    </row>
    <row r="9">
      <c r="A9" s="16" t="inlineStr">
        <is>
          <t>load_1m</t>
        </is>
      </c>
      <c r="B9" s="16" t="n">
        <v>4</v>
      </c>
      <c r="C9" s="16" t="n">
        <v>8</v>
      </c>
      <c r="D9" s="16" t="inlineStr">
        <is>
          <t>load</t>
        </is>
      </c>
      <c r="E9" s="16" t="inlineStr">
        <is>
          <t>HIGHER</t>
        </is>
      </c>
      <c r="F9" s="16" t="inlineStr">
        <is>
          <t>OS</t>
        </is>
      </c>
    </row>
    <row r="10">
      <c r="A10" s="16" t="inlineStr">
        <is>
          <t>sap.smlg.response_time</t>
        </is>
      </c>
      <c r="B10" s="16" t="n">
        <v>1000</v>
      </c>
      <c r="C10" s="16" t="n">
        <v>2500</v>
      </c>
      <c r="D10" s="16" t="inlineStr">
        <is>
          <t>ms</t>
        </is>
      </c>
      <c r="E10" s="16" t="inlineStr">
        <is>
          <t>HIGHER</t>
        </is>
      </c>
      <c r="F10" s="16" t="inlineStr">
        <is>
          <t>Example project threshold; tune per system</t>
        </is>
      </c>
    </row>
    <row r="11">
      <c r="A11" s="16" t="inlineStr">
        <is>
          <t>sap.st03n.dialog_response_time</t>
        </is>
      </c>
      <c r="B11" s="16" t="n">
        <v>500</v>
      </c>
      <c r="C11" s="16" t="n">
        <v>1000</v>
      </c>
      <c r="D11" s="16" t="inlineStr">
        <is>
          <t>ms</t>
        </is>
      </c>
      <c r="E11" s="16" t="inlineStr">
        <is>
          <t>HIGHER</t>
        </is>
      </c>
      <c r="F11" s="16" t="inlineStr">
        <is>
          <t>Example reference threshold</t>
        </is>
      </c>
    </row>
    <row r="12">
      <c r="A12" s="16" t="inlineStr">
        <is>
          <t>sap.st22.dump_count</t>
        </is>
      </c>
      <c r="B12" s="16" t="n">
        <v>5</v>
      </c>
      <c r="C12" s="16" t="n">
        <v>5</v>
      </c>
      <c r="D12" s="16" t="inlineStr">
        <is>
          <t>count</t>
        </is>
      </c>
      <c r="E12" s="16" t="inlineStr">
        <is>
          <t>HIGHER</t>
        </is>
      </c>
      <c r="F12" s="16" t="inlineStr">
        <is>
          <t>Use carefully; also analyze each dump</t>
        </is>
      </c>
    </row>
    <row r="13">
      <c r="A13" s="16" t="inlineStr">
        <is>
          <t>sap.sm12.lock_count</t>
        </is>
      </c>
      <c r="B13" s="16" t="n">
        <v>50</v>
      </c>
      <c r="C13" s="16" t="n">
        <v>150</v>
      </c>
      <c r="D13" s="16" t="inlineStr">
        <is>
          <t>count</t>
        </is>
      </c>
      <c r="E13" s="16" t="inlineStr">
        <is>
          <t>HIGHER</t>
        </is>
      </c>
      <c r="F13" s="16" t="inlineStr">
        <is>
          <t>Tune to customer baseline</t>
        </is>
      </c>
    </row>
    <row r="14">
      <c r="A14" s="16" t="inlineStr">
        <is>
          <t>sap.sm50.wp_utilization</t>
        </is>
      </c>
      <c r="B14" s="16" t="n">
        <v>70</v>
      </c>
      <c r="C14" s="16" t="n">
        <v>90</v>
      </c>
      <c r="D14" s="16" t="inlineStr">
        <is>
          <t>%</t>
        </is>
      </c>
      <c r="E14" s="16" t="inlineStr">
        <is>
          <t>HIGHER</t>
        </is>
      </c>
      <c r="F14" s="16" t="inlineStr">
        <is>
          <t>If implemented</t>
        </is>
      </c>
    </row>
    <row r="15">
      <c r="A15" s="16" t="inlineStr">
        <is>
          <t>sap.sm13.failed_updates</t>
        </is>
      </c>
      <c r="B15" s="16" t="n">
        <v>1</v>
      </c>
      <c r="C15" s="16" t="n">
        <v>10</v>
      </c>
      <c r="D15" s="16" t="inlineStr">
        <is>
          <t>count</t>
        </is>
      </c>
      <c r="E15" s="16" t="inlineStr">
        <is>
          <t>HIGHER</t>
        </is>
      </c>
      <c r="F15" s="16" t="inlineStr">
        <is>
          <t>0 preferred operationally</t>
        </is>
      </c>
    </row>
    <row r="16">
      <c r="A16" s="16" t="inlineStr">
        <is>
          <t>sap.sm37.cancelled_jobs</t>
        </is>
      </c>
      <c r="B16" s="16" t="n">
        <v>5</v>
      </c>
      <c r="C16" s="16" t="n">
        <v>20</v>
      </c>
      <c r="D16" s="16" t="inlineStr">
        <is>
          <t>count</t>
        </is>
      </c>
      <c r="E16" s="16" t="inlineStr">
        <is>
          <t>HIGHER</t>
        </is>
      </c>
      <c r="F16" s="16" t="inlineStr">
        <is>
          <t>Analyze repeated job names</t>
        </is>
      </c>
    </row>
    <row r="17">
      <c r="A17" s="16" t="inlineStr">
        <is>
          <t>sap.smq1.entries</t>
        </is>
      </c>
      <c r="B17" s="16" t="n">
        <v>10</v>
      </c>
      <c r="C17" s="16" t="n">
        <v>50</v>
      </c>
      <c r="D17" s="16" t="inlineStr">
        <is>
          <t>count</t>
        </is>
      </c>
      <c r="E17" s="16" t="inlineStr">
        <is>
          <t>HIGHER</t>
        </is>
      </c>
      <c r="F17" s="16" t="inlineStr">
        <is>
          <t>Trend backlog</t>
        </is>
      </c>
    </row>
    <row r="18">
      <c r="A18" s="16" t="inlineStr">
        <is>
          <t>sap.smq2.entries</t>
        </is>
      </c>
      <c r="B18" s="16" t="n">
        <v>10</v>
      </c>
      <c r="C18" s="16" t="n">
        <v>50</v>
      </c>
      <c r="D18" s="16" t="inlineStr">
        <is>
          <t>count</t>
        </is>
      </c>
      <c r="E18" s="16" t="inlineStr">
        <is>
          <t>HIGHER</t>
        </is>
      </c>
      <c r="F18" s="16" t="inlineStr">
        <is>
          <t>Trend backlog</t>
        </is>
      </c>
    </row>
    <row r="19">
      <c r="A19" s="16" t="inlineStr">
        <is>
          <t>sap.sost.errors</t>
        </is>
      </c>
      <c r="B19" s="16" t="n">
        <v>1</v>
      </c>
      <c r="C19" s="16" t="n">
        <v>10</v>
      </c>
      <c r="D19" s="16" t="inlineStr">
        <is>
          <t>count</t>
        </is>
      </c>
      <c r="E19" s="16" t="inlineStr">
        <is>
          <t>HIGHER</t>
        </is>
      </c>
      <c r="F19" s="16" t="inlineStr">
        <is>
          <t>Analyze error destinations</t>
        </is>
      </c>
    </row>
  </sheetData>
  <mergeCells count="1">
    <mergeCell ref="A1:F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00" customWidth="1" min="3" max="3"/>
  </cols>
  <sheetData>
    <row r="1">
      <c r="A1" s="1" t="inlineStr">
        <is>
          <t>How to Use the InfraBeatOps Monitoring Template</t>
        </is>
      </c>
    </row>
    <row r="2"/>
    <row r="4">
      <c r="A4" s="17" t="inlineStr">
        <is>
          <t>Step</t>
        </is>
      </c>
      <c r="B4" s="17" t="inlineStr">
        <is>
          <t>Area</t>
        </is>
      </c>
      <c r="C4" s="17" t="inlineStr">
        <is>
          <t>Guidance</t>
        </is>
      </c>
    </row>
    <row r="5">
      <c r="A5" s="16" t="inlineStr">
        <is>
          <t>1</t>
        </is>
      </c>
      <c r="B5" s="16" t="inlineStr">
        <is>
          <t>Enter system metadata</t>
        </is>
      </c>
      <c r="C5" s="16" t="inlineStr">
        <is>
          <t>Fill Company, System, SID, Client, Environment, date, monitoring window and analyst on Dashboard.</t>
        </is>
      </c>
    </row>
    <row r="6">
      <c r="A6" s="16" t="inlineStr">
        <is>
          <t>2</t>
        </is>
      </c>
      <c r="B6" s="16" t="inlineStr">
        <is>
          <t>Run / collect checks</t>
        </is>
      </c>
      <c r="C6" s="16" t="inlineStr">
        <is>
          <t>Populate Monitoring Checklist with one row per check/T-code. Keep raw evidence linked by Evidence ID.</t>
        </is>
      </c>
    </row>
    <row r="7">
      <c r="A7" s="16" t="inlineStr">
        <is>
          <t>3</t>
        </is>
      </c>
      <c r="B7" s="16" t="inlineStr">
        <is>
          <t>Capture evidence</t>
        </is>
      </c>
      <c r="C7" s="16" t="inlineStr">
        <is>
          <t>Store screenshot path/link and structured extraction in Evidence Register. For ST22, keep one row per dump when possible.</t>
        </is>
      </c>
    </row>
    <row r="8">
      <c r="A8" s="16" t="inlineStr">
        <is>
          <t>4</t>
        </is>
      </c>
      <c r="B8" s="16" t="inlineStr">
        <is>
          <t>Classify status</t>
        </is>
      </c>
      <c r="C8" s="16" t="inlineStr">
        <is>
          <t>Use HEALTHY / WARNING / CRITICAL / NOT AUTHORIZED / NOT APPLICABLE / UNKNOWN. Status should come from deterministic rules before AI.</t>
        </is>
      </c>
    </row>
    <row r="9">
      <c r="A9" s="16" t="inlineStr">
        <is>
          <t>5</t>
        </is>
      </c>
      <c r="B9" s="16" t="inlineStr">
        <is>
          <t>Use AI analysis</t>
        </is>
      </c>
      <c r="C9" s="16" t="inlineStr">
        <is>
          <t>AI should explain patterns and likely causes using collected evidence; it should not replace deterministic thresholds.</t>
        </is>
      </c>
    </row>
    <row r="10">
      <c r="A10" s="16" t="inlineStr">
        <is>
          <t>6</t>
        </is>
      </c>
      <c r="B10" s="16" t="inlineStr">
        <is>
          <t>Track trends</t>
        </is>
      </c>
      <c r="C10" s="16" t="inlineStr">
        <is>
          <t>Append observations to Daily History so repeated users, programs, jobs, errors and queue backlogs can be detected.</t>
        </is>
      </c>
    </row>
    <row r="11">
      <c r="A11" s="16" t="inlineStr">
        <is>
          <t>7</t>
        </is>
      </c>
      <c r="B11" s="16" t="inlineStr">
        <is>
          <t>ST22 best practice</t>
        </is>
      </c>
      <c r="C11" s="16" t="inlineStr">
        <is>
          <t>For every today's dump capture date, time, host, user, client, runtime error, exception, program/module and transaction ID. Then correlate recurring combinations.</t>
        </is>
      </c>
    </row>
    <row r="12">
      <c r="A12" s="16" t="inlineStr">
        <is>
          <t>8</t>
        </is>
      </c>
      <c r="B12" s="16" t="inlineStr">
        <is>
          <t>Screenshots</t>
        </is>
      </c>
      <c r="C12" s="16" t="inlineStr">
        <is>
          <t>Use a stable Evidence ID such as EV-SYSTEM-TCODE-DATE-SEQ and point to the screenshot file path.</t>
        </is>
      </c>
    </row>
    <row r="13">
      <c r="A13" s="16" t="inlineStr">
        <is>
          <t>9</t>
        </is>
      </c>
      <c r="B13" s="16" t="inlineStr">
        <is>
          <t>Customer customization</t>
        </is>
      </c>
      <c r="C13" s="16" t="inlineStr">
        <is>
          <t>Tune thresholds in Configuration per system/customer baseline; do not treat the example values as universal.</t>
        </is>
      </c>
    </row>
    <row r="14">
      <c r="A14" s="16" t="inlineStr">
        <is>
          <t>10</t>
        </is>
      </c>
      <c r="B14" s="16" t="inlineStr">
        <is>
          <t>Final report</t>
        </is>
      </c>
      <c r="C14" s="16" t="inlineStr">
        <is>
          <t>Dashboard is the executive summary; Checklist + Evidence + AI Analysis form the auditable technical detail.</t>
        </is>
      </c>
    </row>
  </sheetData>
  <mergeCells count="1">
    <mergeCell ref="A1:F2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2026-08-28T05:51:12Z</dcterms:created>
  <dcterms:modified xmlns:dcterms="http://purl.org/dc/terms/" xmlns:xsi="http://www.w3.org/2001/XMLSchema-instance" xsi:type="dcterms:W3CDTF">2026-08-28T05:51:13Z</dcterms:modified>
</cp:coreProperties>
</file>